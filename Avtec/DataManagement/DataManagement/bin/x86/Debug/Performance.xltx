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Turbo EDAC CODE\Turbo_EDAC_Code\DataManagement\DataManagement\bin\x86\Debug\"/>
    </mc:Choice>
  </mc:AlternateContent>
  <bookViews>
    <workbookView xWindow="0" yWindow="0" windowWidth="20490" windowHeight="7905"/>
  </bookViews>
  <sheets>
    <sheet name="Performance" sheetId="1" r:id="rId1"/>
    <sheet name="Graphs" sheetId="2" r:id="rId2"/>
    <sheet name="Sheet3" sheetId="3" r:id="rId3"/>
  </sheets>
  <externalReferences>
    <externalReference r:id="rId4"/>
  </externalReferences>
  <definedNames>
    <definedName name="_xlnm.Print_Area" localSheetId="0">Performance!$A$1:$Z$53</definedName>
  </definedNames>
  <calcPr calcId="152511"/>
</workbook>
</file>

<file path=xl/calcChain.xml><?xml version="1.0" encoding="utf-8"?>
<calcChain xmlns="http://schemas.openxmlformats.org/spreadsheetml/2006/main">
  <c r="M78" i="1" l="1"/>
  <c r="M81" i="1" s="1"/>
  <c r="M84" i="1" s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O46" i="1"/>
  <c r="P46" i="1"/>
  <c r="Q46" i="1"/>
  <c r="R46" i="1"/>
  <c r="T46" i="1" s="1"/>
  <c r="S46" i="1"/>
  <c r="U46" i="1" s="1"/>
  <c r="V46" i="1"/>
  <c r="AE46" i="1" s="1"/>
  <c r="W46" i="1"/>
  <c r="X46" i="1"/>
  <c r="Z46" i="1"/>
  <c r="AA46" i="1" s="1"/>
  <c r="AB46" i="1"/>
  <c r="O47" i="1"/>
  <c r="P47" i="1"/>
  <c r="Q47" i="1"/>
  <c r="R47" i="1" s="1"/>
  <c r="T47" i="1" s="1"/>
  <c r="S47" i="1"/>
  <c r="V47" i="1"/>
  <c r="W47" i="1"/>
  <c r="X47" i="1" s="1"/>
  <c r="Y47" i="1"/>
  <c r="Z47" i="1"/>
  <c r="AA47" i="1" s="1"/>
  <c r="AC47" i="1" s="1"/>
  <c r="AD47" i="1" s="1"/>
  <c r="AB47" i="1"/>
  <c r="AE47" i="1"/>
  <c r="O48" i="1"/>
  <c r="P48" i="1"/>
  <c r="Q48" i="1"/>
  <c r="R48" i="1" s="1"/>
  <c r="T48" i="1" s="1"/>
  <c r="S48" i="1"/>
  <c r="U48" i="1"/>
  <c r="V48" i="1"/>
  <c r="AE48" i="1" s="1"/>
  <c r="W48" i="1"/>
  <c r="Z48" i="1"/>
  <c r="AA48" i="1" s="1"/>
  <c r="AB48" i="1"/>
  <c r="AC48" i="1" s="1"/>
  <c r="AD48" i="1" s="1"/>
  <c r="O49" i="1"/>
  <c r="P49" i="1"/>
  <c r="Q49" i="1"/>
  <c r="R49" i="1" s="1"/>
  <c r="T49" i="1" s="1"/>
  <c r="S49" i="1"/>
  <c r="U49" i="1" s="1"/>
  <c r="V49" i="1"/>
  <c r="X49" i="1" s="1"/>
  <c r="W49" i="1"/>
  <c r="Y49" i="1"/>
  <c r="Z49" i="1"/>
  <c r="AE49" i="1" s="1"/>
  <c r="AA49" i="1"/>
  <c r="AB49" i="1"/>
  <c r="O50" i="1"/>
  <c r="P50" i="1"/>
  <c r="Q50" i="1"/>
  <c r="R50" i="1" s="1"/>
  <c r="T50" i="1" s="1"/>
  <c r="S50" i="1"/>
  <c r="U50" i="1" s="1"/>
  <c r="V50" i="1"/>
  <c r="Y50" i="1" s="1"/>
  <c r="W50" i="1"/>
  <c r="X50" i="1"/>
  <c r="Z50" i="1"/>
  <c r="AA50" i="1"/>
  <c r="AB50" i="1"/>
  <c r="O51" i="1"/>
  <c r="P51" i="1"/>
  <c r="Q51" i="1"/>
  <c r="R51" i="1" s="1"/>
  <c r="T51" i="1" s="1"/>
  <c r="S51" i="1"/>
  <c r="U51" i="1"/>
  <c r="V51" i="1"/>
  <c r="W51" i="1"/>
  <c r="X51" i="1" s="1"/>
  <c r="Y51" i="1"/>
  <c r="Z51" i="1"/>
  <c r="AA51" i="1"/>
  <c r="AB51" i="1"/>
  <c r="AC51" i="1"/>
  <c r="AD51" i="1" s="1"/>
  <c r="AE51" i="1"/>
  <c r="O52" i="1"/>
  <c r="P52" i="1"/>
  <c r="Q52" i="1"/>
  <c r="U52" i="1" s="1"/>
  <c r="R52" i="1"/>
  <c r="T52" i="1" s="1"/>
  <c r="S52" i="1"/>
  <c r="V52" i="1"/>
  <c r="AE52" i="1" s="1"/>
  <c r="W52" i="1"/>
  <c r="X52" i="1"/>
  <c r="Z52" i="1"/>
  <c r="AA52" i="1" s="1"/>
  <c r="AB52" i="1"/>
  <c r="O53" i="1"/>
  <c r="P53" i="1"/>
  <c r="Q53" i="1"/>
  <c r="R53" i="1" s="1"/>
  <c r="T53" i="1" s="1"/>
  <c r="S53" i="1"/>
  <c r="U53" i="1"/>
  <c r="V53" i="1"/>
  <c r="X53" i="1" s="1"/>
  <c r="W53" i="1"/>
  <c r="Z53" i="1"/>
  <c r="AA53" i="1"/>
  <c r="AC53" i="1" s="1"/>
  <c r="AD53" i="1" s="1"/>
  <c r="AB53" i="1"/>
  <c r="AE53" i="1"/>
  <c r="O54" i="1"/>
  <c r="P54" i="1"/>
  <c r="Q54" i="1"/>
  <c r="R54" i="1"/>
  <c r="T54" i="1" s="1"/>
  <c r="S54" i="1"/>
  <c r="U54" i="1" s="1"/>
  <c r="V54" i="1"/>
  <c r="Y54" i="1" s="1"/>
  <c r="W54" i="1"/>
  <c r="X54" i="1"/>
  <c r="Z54" i="1"/>
  <c r="AE54" i="1" s="1"/>
  <c r="AB54" i="1"/>
  <c r="O55" i="1"/>
  <c r="P55" i="1"/>
  <c r="Q55" i="1"/>
  <c r="R55" i="1" s="1"/>
  <c r="T55" i="1" s="1"/>
  <c r="S55" i="1"/>
  <c r="V55" i="1"/>
  <c r="W55" i="1"/>
  <c r="X55" i="1" s="1"/>
  <c r="Y55" i="1"/>
  <c r="Z55" i="1"/>
  <c r="AA55" i="1"/>
  <c r="AC55" i="1" s="1"/>
  <c r="AD55" i="1" s="1"/>
  <c r="AB55" i="1"/>
  <c r="AE55" i="1"/>
  <c r="O56" i="1"/>
  <c r="P56" i="1"/>
  <c r="Q56" i="1"/>
  <c r="R56" i="1"/>
  <c r="T56" i="1" s="1"/>
  <c r="S56" i="1"/>
  <c r="U56" i="1"/>
  <c r="V56" i="1"/>
  <c r="AE56" i="1" s="1"/>
  <c r="W56" i="1"/>
  <c r="Z56" i="1"/>
  <c r="AA56" i="1" s="1"/>
  <c r="AB56" i="1"/>
  <c r="O57" i="1"/>
  <c r="P57" i="1"/>
  <c r="Q57" i="1"/>
  <c r="R57" i="1" s="1"/>
  <c r="T57" i="1" s="1"/>
  <c r="S57" i="1"/>
  <c r="U57" i="1" s="1"/>
  <c r="V57" i="1"/>
  <c r="X57" i="1" s="1"/>
  <c r="W57" i="1"/>
  <c r="Y57" i="1"/>
  <c r="Z57" i="1"/>
  <c r="AA57" i="1"/>
  <c r="AB57" i="1"/>
  <c r="AC57" i="1" s="1"/>
  <c r="AD57" i="1" s="1"/>
  <c r="AE57" i="1"/>
  <c r="O58" i="1"/>
  <c r="P58" i="1"/>
  <c r="Q58" i="1"/>
  <c r="R58" i="1" s="1"/>
  <c r="T58" i="1" s="1"/>
  <c r="S58" i="1"/>
  <c r="U58" i="1" s="1"/>
  <c r="V58" i="1"/>
  <c r="Y58" i="1" s="1"/>
  <c r="W58" i="1"/>
  <c r="X58" i="1"/>
  <c r="Z58" i="1"/>
  <c r="AA58" i="1"/>
  <c r="AB58" i="1"/>
  <c r="O59" i="1"/>
  <c r="P59" i="1"/>
  <c r="Q59" i="1"/>
  <c r="R59" i="1" s="1"/>
  <c r="T59" i="1" s="1"/>
  <c r="S59" i="1"/>
  <c r="U59" i="1"/>
  <c r="V59" i="1"/>
  <c r="W59" i="1"/>
  <c r="X59" i="1"/>
  <c r="Y59" i="1"/>
  <c r="Z59" i="1"/>
  <c r="AA59" i="1"/>
  <c r="AB59" i="1"/>
  <c r="AC59" i="1"/>
  <c r="AD59" i="1" s="1"/>
  <c r="AE59" i="1"/>
  <c r="O60" i="1"/>
  <c r="P60" i="1"/>
  <c r="Q60" i="1"/>
  <c r="R60" i="1"/>
  <c r="T60" i="1" s="1"/>
  <c r="S60" i="1"/>
  <c r="U60" i="1"/>
  <c r="V60" i="1"/>
  <c r="AE60" i="1" s="1"/>
  <c r="W60" i="1"/>
  <c r="X60" i="1"/>
  <c r="Z60" i="1"/>
  <c r="AA60" i="1" s="1"/>
  <c r="AC60" i="1" s="1"/>
  <c r="AD60" i="1" s="1"/>
  <c r="AB60" i="1"/>
  <c r="O61" i="1"/>
  <c r="P61" i="1"/>
  <c r="Q61" i="1"/>
  <c r="R61" i="1" s="1"/>
  <c r="T61" i="1" s="1"/>
  <c r="S61" i="1"/>
  <c r="U61" i="1"/>
  <c r="V61" i="1"/>
  <c r="X61" i="1" s="1"/>
  <c r="W61" i="1"/>
  <c r="Z61" i="1"/>
  <c r="AA61" i="1"/>
  <c r="AB61" i="1"/>
  <c r="AC61" i="1"/>
  <c r="AD61" i="1" s="1"/>
  <c r="AE61" i="1"/>
  <c r="O62" i="1"/>
  <c r="P62" i="1"/>
  <c r="Q62" i="1"/>
  <c r="R62" i="1"/>
  <c r="S62" i="1"/>
  <c r="U62" i="1" s="1"/>
  <c r="T62" i="1"/>
  <c r="V62" i="1"/>
  <c r="Y62" i="1" s="1"/>
  <c r="W62" i="1"/>
  <c r="X62" i="1"/>
  <c r="Z62" i="1"/>
  <c r="AE62" i="1" s="1"/>
  <c r="AB62" i="1"/>
  <c r="O63" i="1"/>
  <c r="P63" i="1"/>
  <c r="Q63" i="1"/>
  <c r="R63" i="1" s="1"/>
  <c r="T63" i="1" s="1"/>
  <c r="S63" i="1"/>
  <c r="V63" i="1"/>
  <c r="W63" i="1"/>
  <c r="X63" i="1" s="1"/>
  <c r="Y63" i="1"/>
  <c r="Z63" i="1"/>
  <c r="AA63" i="1" s="1"/>
  <c r="AC63" i="1" s="1"/>
  <c r="AD63" i="1" s="1"/>
  <c r="AB63" i="1"/>
  <c r="AE63" i="1"/>
  <c r="O64" i="1"/>
  <c r="P64" i="1"/>
  <c r="Q64" i="1"/>
  <c r="R64" i="1"/>
  <c r="T64" i="1" s="1"/>
  <c r="S64" i="1"/>
  <c r="U64" i="1" s="1"/>
  <c r="V64" i="1"/>
  <c r="AE64" i="1" s="1"/>
  <c r="W64" i="1"/>
  <c r="Z64" i="1"/>
  <c r="AA64" i="1" s="1"/>
  <c r="AB64" i="1"/>
  <c r="O65" i="1"/>
  <c r="P65" i="1"/>
  <c r="Q65" i="1"/>
  <c r="R65" i="1" s="1"/>
  <c r="T65" i="1" s="1"/>
  <c r="S65" i="1"/>
  <c r="U65" i="1" s="1"/>
  <c r="V65" i="1"/>
  <c r="X65" i="1" s="1"/>
  <c r="W65" i="1"/>
  <c r="Y65" i="1"/>
  <c r="Z65" i="1"/>
  <c r="AA65" i="1"/>
  <c r="AB65" i="1"/>
  <c r="AE65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H45" i="1"/>
  <c r="I45" i="1"/>
  <c r="O45" i="1"/>
  <c r="P45" i="1"/>
  <c r="Q45" i="1"/>
  <c r="R45" i="1" s="1"/>
  <c r="T45" i="1" s="1"/>
  <c r="S45" i="1"/>
  <c r="V45" i="1"/>
  <c r="W45" i="1"/>
  <c r="Z45" i="1"/>
  <c r="AA45" i="1" s="1"/>
  <c r="AB45" i="1"/>
  <c r="AC64" i="1" l="1"/>
  <c r="AD64" i="1" s="1"/>
  <c r="AC49" i="1"/>
  <c r="AD49" i="1" s="1"/>
  <c r="AC58" i="1"/>
  <c r="AD58" i="1" s="1"/>
  <c r="AC65" i="1"/>
  <c r="AD65" i="1" s="1"/>
  <c r="AC50" i="1"/>
  <c r="AD50" i="1" s="1"/>
  <c r="AC52" i="1"/>
  <c r="AD52" i="1" s="1"/>
  <c r="AC62" i="1"/>
  <c r="AD62" i="1" s="1"/>
  <c r="AC56" i="1"/>
  <c r="AD56" i="1" s="1"/>
  <c r="AC46" i="1"/>
  <c r="AD46" i="1" s="1"/>
  <c r="AA62" i="1"/>
  <c r="Y60" i="1"/>
  <c r="AE58" i="1"/>
  <c r="AA54" i="1"/>
  <c r="AC54" i="1" s="1"/>
  <c r="AD54" i="1" s="1"/>
  <c r="Y52" i="1"/>
  <c r="AE50" i="1"/>
  <c r="Y46" i="1"/>
  <c r="U63" i="1"/>
  <c r="U55" i="1"/>
  <c r="U47" i="1"/>
  <c r="Y64" i="1"/>
  <c r="Y56" i="1"/>
  <c r="Y48" i="1"/>
  <c r="X64" i="1"/>
  <c r="Y61" i="1"/>
  <c r="X56" i="1"/>
  <c r="Y53" i="1"/>
  <c r="X48" i="1"/>
  <c r="AC45" i="1"/>
  <c r="AD45" i="1" s="1"/>
  <c r="U45" i="1"/>
  <c r="X45" i="1"/>
  <c r="Y45" i="1"/>
  <c r="AE45" i="1"/>
  <c r="Y20" i="1"/>
  <c r="B5" i="2" l="1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C4" i="2"/>
  <c r="B4" i="2"/>
  <c r="D21" i="2" l="1"/>
  <c r="D17" i="2"/>
  <c r="D13" i="2"/>
  <c r="D14" i="2"/>
  <c r="D6" i="2"/>
  <c r="D5" i="2"/>
  <c r="D15" i="2"/>
  <c r="D7" i="2"/>
  <c r="D9" i="2"/>
  <c r="D4" i="2"/>
  <c r="D18" i="2"/>
  <c r="D19" i="2"/>
  <c r="D20" i="2"/>
  <c r="D16" i="2"/>
  <c r="D12" i="2"/>
  <c r="D8" i="2"/>
  <c r="D10" i="2"/>
  <c r="D11" i="2"/>
</calcChain>
</file>

<file path=xl/sharedStrings.xml><?xml version="1.0" encoding="utf-8"?>
<sst xmlns="http://schemas.openxmlformats.org/spreadsheetml/2006/main" count="192" uniqueCount="146">
  <si>
    <t>Engine Performance Sheet</t>
  </si>
  <si>
    <t>R &amp; D Centre,</t>
  </si>
  <si>
    <t>Chennai - 600 011.</t>
  </si>
  <si>
    <t>Date :</t>
  </si>
  <si>
    <t>SF 021  / 7 / 10-03</t>
  </si>
  <si>
    <t>NO</t>
  </si>
  <si>
    <t>YES</t>
  </si>
  <si>
    <t>Nm</t>
  </si>
  <si>
    <t>°C</t>
  </si>
  <si>
    <t>bar</t>
  </si>
  <si>
    <t>lpm</t>
  </si>
  <si>
    <t>Speed</t>
  </si>
  <si>
    <t>SFC</t>
  </si>
  <si>
    <t>Smoke</t>
  </si>
  <si>
    <t>rpm</t>
  </si>
  <si>
    <t>kW</t>
  </si>
  <si>
    <t>Torque (Nm)</t>
  </si>
  <si>
    <t>Power (hp)</t>
  </si>
  <si>
    <t>Turbo Energy Ltd</t>
  </si>
  <si>
    <t>CUSTOMER</t>
  </si>
  <si>
    <t>ENGINE TYPE</t>
  </si>
  <si>
    <t>ENGINE RATING</t>
  </si>
  <si>
    <t>ENGINE SL. NO</t>
  </si>
  <si>
    <t>ENGINE TEST STD</t>
  </si>
  <si>
    <t>NUMBER OF CYL</t>
  </si>
  <si>
    <t>BORE(mm)</t>
  </si>
  <si>
    <t>STROKE(mm)</t>
  </si>
  <si>
    <t>NOZZLE SIZE (mm)</t>
  </si>
  <si>
    <t>M&amp;M</t>
  </si>
  <si>
    <t>2 Cyl. TCIC</t>
  </si>
  <si>
    <t>34KW @ 3750 rpm</t>
  </si>
  <si>
    <t>HLJ6K 49158</t>
  </si>
  <si>
    <t>….</t>
  </si>
  <si>
    <t>ARR. OF CYL</t>
  </si>
  <si>
    <t>SWEPT VOL.(L)</t>
  </si>
  <si>
    <t>0.9 L</t>
  </si>
  <si>
    <t>COMPRESSION RATIO</t>
  </si>
  <si>
    <t>ENGINE COOLANT</t>
  </si>
  <si>
    <t>FUEL INJECTION TIME</t>
  </si>
  <si>
    <t>FIRING ORDER</t>
  </si>
  <si>
    <t>IDLING SPEED(rpm)</t>
  </si>
  <si>
    <t>FUEL INJECTION PUMP</t>
  </si>
  <si>
    <t>Inline</t>
  </si>
  <si>
    <t>F.I.P. S.No.</t>
  </si>
  <si>
    <t>INJECTION PR.(bar)</t>
  </si>
  <si>
    <t xml:space="preserve">FIP NOZZLE TYPE </t>
  </si>
  <si>
    <t>SPRAY HOLE CONFIG</t>
  </si>
  <si>
    <t>EGR CONNECTION</t>
  </si>
  <si>
    <t>Coolent</t>
  </si>
  <si>
    <t>1,2</t>
  </si>
  <si>
    <t>1050RPM</t>
  </si>
  <si>
    <t>PF PUMP</t>
  </si>
  <si>
    <t>max 1450bar</t>
  </si>
  <si>
    <t>Yes</t>
  </si>
  <si>
    <t>FUEL</t>
  </si>
  <si>
    <t>SP.G. OF FUEL</t>
  </si>
  <si>
    <t>ENGINE LUB OIL</t>
  </si>
  <si>
    <t xml:space="preserve">TC MODEL </t>
  </si>
  <si>
    <t>TC SPECIFICATION</t>
  </si>
  <si>
    <t>TC PART NUMBER</t>
  </si>
  <si>
    <t>TC SERIAL NUMBER</t>
  </si>
  <si>
    <t>TC AFTER COOLER</t>
  </si>
  <si>
    <t>AIR FILTER</t>
  </si>
  <si>
    <t>DYNO. TYPE</t>
  </si>
  <si>
    <t>REMARKS</t>
  </si>
  <si>
    <t>DIESEL</t>
  </si>
  <si>
    <t>SAE ISW 40</t>
  </si>
  <si>
    <t>Master Wonder</t>
  </si>
  <si>
    <t>T01-33X68 0.21C-31.2X77 0.18C</t>
  </si>
  <si>
    <t>core no-82</t>
  </si>
  <si>
    <t>ECB 120</t>
  </si>
  <si>
    <t>CELL NO</t>
  </si>
  <si>
    <t>EWO NO</t>
  </si>
  <si>
    <t>TEST NAME</t>
  </si>
  <si>
    <t>AIR COMRESSOR</t>
  </si>
  <si>
    <t>ALTERNATOR</t>
  </si>
  <si>
    <t>COOLING FAN</t>
  </si>
  <si>
    <t>POWER STEERING PUMP</t>
  </si>
  <si>
    <t>DATE OF TEST</t>
  </si>
  <si>
    <t>TESTED BY</t>
  </si>
  <si>
    <t>ENGINEER</t>
  </si>
  <si>
    <t>R.Elango</t>
  </si>
  <si>
    <t>P.RajaRooban</t>
  </si>
  <si>
    <t>11.12.2018</t>
  </si>
  <si>
    <t>Master Wonder_DF10mm_3rd Engine</t>
  </si>
  <si>
    <t>322/18</t>
  </si>
  <si>
    <t>Load</t>
  </si>
  <si>
    <t>Temperatures</t>
  </si>
  <si>
    <t>Pressures</t>
  </si>
  <si>
    <t>T FUEL</t>
  </si>
  <si>
    <t>TWI</t>
  </si>
  <si>
    <t>TWO</t>
  </si>
  <si>
    <t>T OIL</t>
  </si>
  <si>
    <t>T AIR INLET</t>
  </si>
  <si>
    <t>T1</t>
  </si>
  <si>
    <t>T2</t>
  </si>
  <si>
    <t>T2'</t>
  </si>
  <si>
    <t>T3</t>
  </si>
  <si>
    <t>T4</t>
  </si>
  <si>
    <t>T DRY</t>
  </si>
  <si>
    <t xml:space="preserve">T WET </t>
  </si>
  <si>
    <t>T Ambt</t>
  </si>
  <si>
    <t>P OIL</t>
  </si>
  <si>
    <t>P1</t>
  </si>
  <si>
    <t>P2</t>
  </si>
  <si>
    <t>P2'</t>
  </si>
  <si>
    <t>P3</t>
  </si>
  <si>
    <t>P4</t>
  </si>
  <si>
    <t>P Ambt</t>
  </si>
  <si>
    <t>Fuel Flow</t>
  </si>
  <si>
    <t>kg/hr</t>
  </si>
  <si>
    <t>Observed</t>
  </si>
  <si>
    <t>Corrected</t>
  </si>
  <si>
    <t>Power</t>
  </si>
  <si>
    <t>Fuel Delivery</t>
  </si>
  <si>
    <t>FSN</t>
  </si>
  <si>
    <t>TC Speed</t>
  </si>
  <si>
    <t>A/F</t>
  </si>
  <si>
    <t>Corr. factor</t>
  </si>
  <si>
    <t>mg/st/cylinder</t>
  </si>
  <si>
    <t xml:space="preserve">LOAD </t>
  </si>
  <si>
    <t>Blow by</t>
  </si>
  <si>
    <t>Air flow</t>
  </si>
  <si>
    <t>vaccum</t>
  </si>
  <si>
    <t>air-g/st/cylinder</t>
  </si>
  <si>
    <t>row_1</t>
  </si>
  <si>
    <t>V1_red</t>
  </si>
  <si>
    <t>pai_v</t>
  </si>
  <si>
    <t>pai_t</t>
  </si>
  <si>
    <t>MF parameter</t>
  </si>
  <si>
    <t>P2"</t>
  </si>
  <si>
    <t>row_2"</t>
  </si>
  <si>
    <t>theory vol</t>
  </si>
  <si>
    <t>theory mass</t>
  </si>
  <si>
    <t>eta vol</t>
  </si>
  <si>
    <t>P3-P2</t>
  </si>
  <si>
    <t>g/kw.hr</t>
  </si>
  <si>
    <t>mm3/str/cyl</t>
  </si>
  <si>
    <t>Flyup (rpm)</t>
  </si>
  <si>
    <t>LOT</t>
  </si>
  <si>
    <t>LOP</t>
  </si>
  <si>
    <t>Idle (rpm)</t>
  </si>
  <si>
    <t>For Fuel delivery</t>
  </si>
  <si>
    <t>kg/m3</t>
  </si>
  <si>
    <t>m3/hr</t>
  </si>
  <si>
    <t>mm3/str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</si>
</sst>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6" formatCode="0.000"/>
  </numFmts>
  <fonts count="2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Times New Roman"/>
      <family val="1"/>
    </font>
    <font>
      <sz val="10"/>
      <name val="Times New Roman"/>
      <family val="1"/>
    </font>
    <font>
      <b/>
      <sz val="10"/>
      <color indexed="16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Times New Roman"/>
      <family val="1"/>
    </font>
    <font>
      <sz val="10"/>
      <color indexed="12"/>
      <name val="Calibri"/>
      <family val="2"/>
      <scheme val="minor"/>
    </font>
    <font>
      <b/>
      <sz val="10"/>
      <color indexed="16"/>
      <name val="Times New Roman"/>
      <family val="1"/>
    </font>
    <font>
      <sz val="10"/>
      <color indexed="12"/>
      <name val="Times New Roman"/>
      <family val="1"/>
    </font>
    <font>
      <sz val="10"/>
      <color rgb="FFFF0000"/>
      <name val="Book Antiqua"/>
      <family val="1"/>
    </font>
    <font>
      <b/>
      <sz val="10"/>
      <name val="Times New Roman"/>
      <family val="1"/>
    </font>
    <font>
      <b/>
      <sz val="10"/>
      <color indexed="12"/>
      <name val="Times New Roman"/>
      <family val="1"/>
    </font>
    <font>
      <u/>
      <sz val="10"/>
      <color rgb="FFFF0000"/>
      <name val="Castellar"/>
      <family val="1"/>
    </font>
    <font>
      <b/>
      <sz val="10"/>
      <color rgb="FF002060"/>
      <name val="Times New Roman"/>
      <family val="1"/>
    </font>
    <font>
      <sz val="10"/>
      <color indexed="16"/>
      <name val="Calibri"/>
      <family val="2"/>
      <scheme val="minor"/>
    </font>
    <font>
      <sz val="10"/>
      <color rgb="FF3011A3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Times New Roman"/>
      <family val="1"/>
    </font>
    <font>
      <b/>
      <sz val="10"/>
      <color theme="4" tint="-0.249977111117893"/>
      <name val="Times New Roman"/>
      <family val="1"/>
    </font>
    <font>
      <sz val="10"/>
      <color indexed="8"/>
      <name val="Book Antiqua"/>
      <family val="1"/>
    </font>
    <font>
      <sz val="10"/>
      <name val="Book Antiqua"/>
      <family val="1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5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6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6" tint="-0.499984740745262"/>
      </bottom>
      <diagonal/>
    </border>
    <border>
      <left/>
      <right style="thin">
        <color indexed="64"/>
      </right>
      <top style="thin">
        <color indexed="64"/>
      </top>
      <bottom style="medium">
        <color theme="6" tint="-0.499984740745262"/>
      </bottom>
      <diagonal/>
    </border>
    <border>
      <left/>
      <right style="medium">
        <color theme="6" tint="-0.499984740745262"/>
      </right>
      <top/>
      <bottom style="thin">
        <color indexed="64"/>
      </bottom>
      <diagonal/>
    </border>
    <border>
      <left/>
      <right style="medium">
        <color theme="6" tint="-0.499984740745262"/>
      </right>
      <top style="thin">
        <color indexed="64"/>
      </top>
      <bottom style="medium">
        <color theme="6" tint="-0.499984740745262"/>
      </bottom>
      <diagonal/>
    </border>
    <border>
      <left/>
      <right style="medium">
        <color theme="6" tint="-0.499984740745262"/>
      </right>
      <top style="medium">
        <color theme="6" tint="-0.499984740745262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dashed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dashed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dashed">
        <color theme="6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dashed">
        <color theme="6" tint="-0.499984740745262"/>
      </top>
      <bottom style="medium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dashed">
        <color theme="6" tint="-0.499984740745262"/>
      </top>
      <bottom style="medium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dashed">
        <color theme="6" tint="-0.499984740745262"/>
      </top>
      <bottom style="medium">
        <color theme="6" tint="-0.499984740745262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2" fillId="0" borderId="0" xfId="0" applyFont="1"/>
    <xf numFmtId="0" fontId="3" fillId="0" borderId="0" xfId="0" applyFont="1" applyBorder="1" applyAlignment="1">
      <alignment horizontal="center" vertical="center" wrapText="1"/>
    </xf>
    <xf numFmtId="0" fontId="0" fillId="0" borderId="15" xfId="0" applyBorder="1"/>
    <xf numFmtId="0" fontId="1" fillId="0" borderId="15" xfId="0" applyFont="1" applyBorder="1"/>
    <xf numFmtId="2" fontId="0" fillId="0" borderId="15" xfId="0" applyNumberFormat="1" applyBorder="1"/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/>
    <xf numFmtId="164" fontId="3" fillId="2" borderId="0" xfId="0" applyNumberFormat="1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2" fillId="0" borderId="0" xfId="0" applyFont="1" applyBorder="1"/>
    <xf numFmtId="0" fontId="10" fillId="0" borderId="37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10" fillId="0" borderId="4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center" vertical="center" wrapText="1"/>
    </xf>
    <xf numFmtId="0" fontId="10" fillId="0" borderId="47" xfId="0" applyFont="1" applyBorder="1" applyAlignment="1">
      <alignment horizontal="center" vertical="center" wrapText="1"/>
    </xf>
    <xf numFmtId="166" fontId="11" fillId="0" borderId="29" xfId="0" applyNumberFormat="1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2" fillId="0" borderId="0" xfId="0" applyFo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3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2" fillId="0" borderId="0" xfId="0" applyFont="1" applyBorder="1" applyAlignment="1"/>
    <xf numFmtId="0" fontId="16" fillId="0" borderId="1" xfId="0" applyFont="1" applyBorder="1" applyAlignment="1">
      <alignment horizontal="left" vertical="center" wrapText="1"/>
    </xf>
    <xf numFmtId="0" fontId="16" fillId="0" borderId="2" xfId="0" applyFont="1" applyBorder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6" fillId="0" borderId="4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top" wrapText="1"/>
    </xf>
    <xf numFmtId="0" fontId="18" fillId="0" borderId="2" xfId="0" applyFont="1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7" fillId="0" borderId="2" xfId="0" applyFont="1" applyBorder="1" applyAlignment="1">
      <alignment horizontal="left" vertical="center" wrapText="1"/>
    </xf>
    <xf numFmtId="0" fontId="17" fillId="2" borderId="4" xfId="0" applyFont="1" applyFill="1" applyBorder="1" applyAlignment="1">
      <alignment horizontal="left" vertical="center" wrapText="1"/>
    </xf>
    <xf numFmtId="0" fontId="17" fillId="2" borderId="0" xfId="0" applyFont="1" applyFill="1" applyBorder="1" applyAlignment="1">
      <alignment horizontal="left" vertical="center" wrapText="1"/>
    </xf>
    <xf numFmtId="0" fontId="19" fillId="0" borderId="0" xfId="0" applyFont="1"/>
    <xf numFmtId="0" fontId="16" fillId="0" borderId="6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0" fontId="16" fillId="0" borderId="8" xfId="0" applyFont="1" applyBorder="1" applyAlignment="1">
      <alignment horizontal="left" vertical="center" wrapText="1"/>
    </xf>
    <xf numFmtId="0" fontId="17" fillId="0" borderId="9" xfId="0" applyFont="1" applyBorder="1" applyAlignment="1">
      <alignment horizontal="left" vertical="center" wrapText="1"/>
    </xf>
    <xf numFmtId="0" fontId="16" fillId="0" borderId="10" xfId="0" applyFont="1" applyBorder="1" applyAlignment="1">
      <alignment horizontal="left" vertical="center" wrapText="1"/>
    </xf>
    <xf numFmtId="0" fontId="17" fillId="0" borderId="6" xfId="0" applyFont="1" applyBorder="1" applyAlignment="1">
      <alignment horizontal="left" vertical="center" wrapText="1"/>
    </xf>
    <xf numFmtId="0" fontId="17" fillId="0" borderId="8" xfId="0" applyFont="1" applyBorder="1" applyAlignment="1">
      <alignment horizontal="left" vertical="center" wrapText="1"/>
    </xf>
    <xf numFmtId="0" fontId="18" fillId="0" borderId="6" xfId="0" applyFont="1" applyBorder="1" applyAlignment="1">
      <alignment horizontal="left" vertical="top" wrapText="1"/>
    </xf>
    <xf numFmtId="0" fontId="18" fillId="0" borderId="7" xfId="0" applyFont="1" applyBorder="1" applyAlignment="1">
      <alignment horizontal="left" vertical="top" wrapText="1"/>
    </xf>
    <xf numFmtId="0" fontId="18" fillId="0" borderId="8" xfId="0" applyFont="1" applyBorder="1" applyAlignment="1">
      <alignment horizontal="left" vertical="top" wrapText="1"/>
    </xf>
    <xf numFmtId="0" fontId="17" fillId="0" borderId="7" xfId="0" applyFont="1" applyBorder="1" applyAlignment="1">
      <alignment horizontal="left" vertical="center" wrapText="1"/>
    </xf>
    <xf numFmtId="0" fontId="17" fillId="2" borderId="9" xfId="0" applyFont="1" applyFill="1" applyBorder="1" applyAlignment="1">
      <alignment horizontal="left" vertical="center" wrapText="1"/>
    </xf>
    <xf numFmtId="0" fontId="17" fillId="0" borderId="6" xfId="0" applyFont="1" applyBorder="1" applyAlignment="1">
      <alignment vertical="center" wrapText="1"/>
    </xf>
    <xf numFmtId="0" fontId="17" fillId="0" borderId="8" xfId="0" applyFont="1" applyBorder="1" applyAlignment="1">
      <alignment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7" xfId="0" applyFont="1" applyBorder="1" applyAlignment="1">
      <alignment horizontal="left" vertical="center" wrapText="1"/>
    </xf>
    <xf numFmtId="0" fontId="17" fillId="0" borderId="18" xfId="0" applyFont="1" applyBorder="1" applyAlignment="1">
      <alignment horizontal="left" vertical="center" wrapText="1"/>
    </xf>
    <xf numFmtId="0" fontId="16" fillId="0" borderId="16" xfId="0" applyFont="1" applyBorder="1" applyAlignment="1">
      <alignment horizontal="left" vertical="center" wrapText="1"/>
    </xf>
    <xf numFmtId="0" fontId="16" fillId="0" borderId="17" xfId="0" applyFont="1" applyBorder="1" applyAlignment="1">
      <alignment horizontal="left" vertical="center" wrapText="1"/>
    </xf>
    <xf numFmtId="0" fontId="16" fillId="0" borderId="18" xfId="0" applyFont="1" applyBorder="1" applyAlignment="1">
      <alignment horizontal="left" vertical="center" wrapText="1"/>
    </xf>
    <xf numFmtId="0" fontId="17" fillId="2" borderId="16" xfId="0" applyFont="1" applyFill="1" applyBorder="1" applyAlignment="1">
      <alignment horizontal="left" vertical="center" wrapText="1"/>
    </xf>
    <xf numFmtId="0" fontId="17" fillId="2" borderId="17" xfId="0" applyFont="1" applyFill="1" applyBorder="1" applyAlignment="1">
      <alignment horizontal="left" vertical="center" wrapText="1"/>
    </xf>
    <xf numFmtId="0" fontId="17" fillId="2" borderId="18" xfId="0" applyFont="1" applyFill="1" applyBorder="1" applyAlignment="1">
      <alignment horizontal="left" vertical="center" wrapText="1"/>
    </xf>
    <xf numFmtId="0" fontId="17" fillId="2" borderId="6" xfId="0" applyFont="1" applyFill="1" applyBorder="1" applyAlignment="1">
      <alignment horizontal="left" vertical="center" wrapText="1"/>
    </xf>
    <xf numFmtId="0" fontId="17" fillId="2" borderId="7" xfId="0" applyFont="1" applyFill="1" applyBorder="1" applyAlignment="1">
      <alignment horizontal="left" vertical="center" wrapText="1"/>
    </xf>
    <xf numFmtId="0" fontId="17" fillId="2" borderId="8" xfId="0" applyFont="1" applyFill="1" applyBorder="1" applyAlignment="1">
      <alignment horizontal="left" vertical="center" wrapText="1"/>
    </xf>
    <xf numFmtId="0" fontId="16" fillId="0" borderId="9" xfId="0" applyFont="1" applyBorder="1" applyAlignment="1">
      <alignment horizontal="left" vertical="center" wrapText="1"/>
    </xf>
    <xf numFmtId="0" fontId="17" fillId="2" borderId="19" xfId="0" applyFont="1" applyFill="1" applyBorder="1" applyAlignment="1">
      <alignment horizontal="left" vertical="center" wrapText="1"/>
    </xf>
    <xf numFmtId="0" fontId="17" fillId="2" borderId="21" xfId="0" applyFont="1" applyFill="1" applyBorder="1" applyAlignment="1">
      <alignment horizontal="left" vertical="center" wrapText="1"/>
    </xf>
    <xf numFmtId="0" fontId="17" fillId="2" borderId="20" xfId="0" applyFont="1" applyFill="1" applyBorder="1" applyAlignment="1">
      <alignment horizontal="left" vertical="center" wrapText="1"/>
    </xf>
    <xf numFmtId="0" fontId="16" fillId="0" borderId="11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6" fillId="0" borderId="12" xfId="0" applyFont="1" applyBorder="1" applyAlignment="1">
      <alignment horizontal="left" vertical="center" wrapText="1"/>
    </xf>
    <xf numFmtId="0" fontId="16" fillId="0" borderId="13" xfId="0" applyFont="1" applyBorder="1" applyAlignment="1">
      <alignment horizontal="left" vertical="center" wrapText="1"/>
    </xf>
    <xf numFmtId="0" fontId="16" fillId="0" borderId="14" xfId="0" applyFont="1" applyBorder="1" applyAlignment="1">
      <alignment horizontal="left" vertical="center" wrapText="1"/>
    </xf>
    <xf numFmtId="0" fontId="17" fillId="0" borderId="12" xfId="0" applyFont="1" applyBorder="1" applyAlignment="1">
      <alignment vertical="center" wrapText="1"/>
    </xf>
    <xf numFmtId="0" fontId="17" fillId="0" borderId="14" xfId="0" applyFont="1" applyBorder="1" applyAlignment="1">
      <alignment vertical="center" wrapText="1"/>
    </xf>
    <xf numFmtId="0" fontId="18" fillId="0" borderId="12" xfId="0" applyFont="1" applyBorder="1" applyAlignment="1">
      <alignment horizontal="left" vertical="top" wrapText="1"/>
    </xf>
    <xf numFmtId="0" fontId="18" fillId="0" borderId="13" xfId="0" applyFont="1" applyBorder="1" applyAlignment="1">
      <alignment horizontal="left" vertical="top" wrapText="1"/>
    </xf>
    <xf numFmtId="0" fontId="18" fillId="0" borderId="14" xfId="0" applyFont="1" applyBorder="1" applyAlignment="1">
      <alignment horizontal="left" vertical="top" wrapText="1"/>
    </xf>
    <xf numFmtId="0" fontId="17" fillId="0" borderId="12" xfId="0" applyFont="1" applyBorder="1" applyAlignment="1">
      <alignment horizontal="left" vertical="center" wrapText="1"/>
    </xf>
    <xf numFmtId="0" fontId="17" fillId="0" borderId="13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6" fillId="0" borderId="35" xfId="0" applyFont="1" applyBorder="1" applyAlignment="1">
      <alignment horizontal="left" vertical="center" wrapText="1"/>
    </xf>
    <xf numFmtId="0" fontId="17" fillId="0" borderId="35" xfId="0" applyFont="1" applyBorder="1" applyAlignment="1">
      <alignment horizontal="left" vertical="center" wrapText="1"/>
    </xf>
    <xf numFmtId="0" fontId="17" fillId="0" borderId="35" xfId="0" applyFont="1" applyBorder="1" applyAlignment="1">
      <alignment vertical="center" wrapText="1"/>
    </xf>
    <xf numFmtId="0" fontId="18" fillId="0" borderId="35" xfId="0" applyFont="1" applyBorder="1" applyAlignment="1">
      <alignment horizontal="left" vertical="top" wrapText="1"/>
    </xf>
    <xf numFmtId="0" fontId="17" fillId="0" borderId="25" xfId="0" applyFont="1" applyBorder="1" applyAlignment="1">
      <alignment horizontal="left" vertical="center" wrapText="1"/>
    </xf>
    <xf numFmtId="0" fontId="20" fillId="0" borderId="30" xfId="0" applyFont="1" applyBorder="1" applyAlignment="1">
      <alignment horizontal="center" vertical="center" wrapText="1"/>
    </xf>
    <xf numFmtId="0" fontId="20" fillId="0" borderId="33" xfId="0" applyFont="1" applyBorder="1" applyAlignment="1">
      <alignment horizontal="center" vertical="center" wrapText="1"/>
    </xf>
    <xf numFmtId="0" fontId="20" fillId="0" borderId="32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164" fontId="3" fillId="0" borderId="0" xfId="0" applyNumberFormat="1" applyFont="1" applyBorder="1" applyAlignment="1">
      <alignment horizontal="center" vertical="center" wrapText="1"/>
    </xf>
    <xf numFmtId="164" fontId="7" fillId="0" borderId="0" xfId="0" applyNumberFormat="1" applyFont="1" applyBorder="1" applyAlignment="1">
      <alignment horizontal="center" vertical="center" wrapText="1"/>
    </xf>
    <xf numFmtId="2" fontId="3" fillId="0" borderId="0" xfId="0" applyNumberFormat="1" applyFont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21" fillId="0" borderId="28" xfId="0" applyFont="1" applyBorder="1" applyAlignment="1">
      <alignment horizontal="center" vertical="center" wrapText="1"/>
    </xf>
    <xf numFmtId="0" fontId="21" fillId="0" borderId="28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1" fontId="3" fillId="0" borderId="49" xfId="0" applyNumberFormat="1" applyFont="1" applyFill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164" fontId="3" fillId="0" borderId="49" xfId="0" applyNumberFormat="1" applyFont="1" applyFill="1" applyBorder="1" applyAlignment="1">
      <alignment horizontal="center" vertical="center" wrapText="1"/>
    </xf>
    <xf numFmtId="2" fontId="3" fillId="0" borderId="50" xfId="0" applyNumberFormat="1" applyFont="1" applyFill="1" applyBorder="1" applyAlignment="1">
      <alignment horizontal="center" vertical="center" wrapText="1"/>
    </xf>
    <xf numFmtId="0" fontId="9" fillId="0" borderId="51" xfId="0" applyFont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 wrapText="1"/>
    </xf>
    <xf numFmtId="1" fontId="3" fillId="0" borderId="52" xfId="0" applyNumberFormat="1" applyFont="1" applyFill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 wrapText="1"/>
    </xf>
    <xf numFmtId="164" fontId="3" fillId="0" borderId="52" xfId="0" applyNumberFormat="1" applyFont="1" applyFill="1" applyBorder="1" applyAlignment="1">
      <alignment horizontal="center" vertical="center" wrapText="1"/>
    </xf>
    <xf numFmtId="2" fontId="3" fillId="0" borderId="53" xfId="0" applyNumberFormat="1" applyFont="1" applyFill="1" applyBorder="1" applyAlignment="1">
      <alignment horizontal="center" vertical="center" wrapText="1"/>
    </xf>
    <xf numFmtId="164" fontId="22" fillId="0" borderId="0" xfId="0" applyNumberFormat="1" applyFont="1" applyBorder="1" applyAlignment="1">
      <alignment horizontal="center" vertical="center" wrapText="1"/>
    </xf>
    <xf numFmtId="164" fontId="22" fillId="0" borderId="54" xfId="0" applyNumberFormat="1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 vertical="center" wrapText="1"/>
    </xf>
    <xf numFmtId="0" fontId="6" fillId="0" borderId="55" xfId="0" applyFont="1" applyBorder="1"/>
    <xf numFmtId="0" fontId="6" fillId="0" borderId="56" xfId="0" applyFont="1" applyBorder="1"/>
    <xf numFmtId="0" fontId="6" fillId="0" borderId="57" xfId="0" applyFont="1" applyBorder="1"/>
    <xf numFmtId="0" fontId="6" fillId="0" borderId="58" xfId="0" applyFont="1" applyBorder="1"/>
    <xf numFmtId="0" fontId="6" fillId="0" borderId="0" xfId="0" applyFont="1" applyBorder="1"/>
    <xf numFmtId="0" fontId="6" fillId="0" borderId="59" xfId="0" applyFont="1" applyBorder="1"/>
    <xf numFmtId="0" fontId="6" fillId="3" borderId="6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61" xfId="0" applyFont="1" applyBorder="1"/>
    <xf numFmtId="0" fontId="6" fillId="0" borderId="54" xfId="0" applyFont="1" applyBorder="1"/>
    <xf numFmtId="0" fontId="6" fillId="0" borderId="62" xfId="0" applyFont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800000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Torque</a:t>
            </a:r>
          </a:p>
        </c:rich>
      </c:tx>
      <c:layout>
        <c:manualLayout>
          <c:xMode val="edge"/>
          <c:yMode val="edge"/>
          <c:x val="0.42001402496443702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17238647055887"/>
          <c:y val="0.12403426943457722"/>
          <c:w val="0.80998241965037465"/>
          <c:h val="0.59044980064514863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boost'!$B$17:$B$24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boost'!$Y$17:$Y$24</c:f>
              <c:numCache>
                <c:formatCode>General</c:formatCode>
                <c:ptCount val="8"/>
                <c:pt idx="0">
                  <c:v>193.45463978676821</c:v>
                </c:pt>
                <c:pt idx="1">
                  <c:v>200.6047071604593</c:v>
                </c:pt>
                <c:pt idx="2">
                  <c:v>209.76887801969715</c:v>
                </c:pt>
                <c:pt idx="3">
                  <c:v>219.73869027315371</c:v>
                </c:pt>
                <c:pt idx="4">
                  <c:v>245.91729138977902</c:v>
                </c:pt>
                <c:pt idx="5">
                  <c:v>256.48465153224953</c:v>
                </c:pt>
                <c:pt idx="6">
                  <c:v>268.35402895371232</c:v>
                </c:pt>
                <c:pt idx="7">
                  <c:v>273.18709505220238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boost'!$Y$19:$Y$30</c:f>
              <c:numCache>
                <c:formatCode>General</c:formatCode>
                <c:ptCount val="12"/>
                <c:pt idx="0">
                  <c:v>140.51025999999999</c:v>
                </c:pt>
                <c:pt idx="1">
                  <c:v>144.23172</c:v>
                </c:pt>
                <c:pt idx="2">
                  <c:v>145.53925999999998</c:v>
                </c:pt>
                <c:pt idx="3">
                  <c:v>146.24332000000001</c:v>
                </c:pt>
                <c:pt idx="4">
                  <c:v>148.25492</c:v>
                </c:pt>
                <c:pt idx="5">
                  <c:v>152.27812</c:v>
                </c:pt>
                <c:pt idx="6">
                  <c:v>157.10595999999998</c:v>
                </c:pt>
                <c:pt idx="7">
                  <c:v>162.03438</c:v>
                </c:pt>
                <c:pt idx="8">
                  <c:v>174.79783999999998</c:v>
                </c:pt>
                <c:pt idx="9">
                  <c:v>182.35915</c:v>
                </c:pt>
                <c:pt idx="10">
                  <c:v>190.20672000000002</c:v>
                </c:pt>
                <c:pt idx="11">
                  <c:v>198.84539999999998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boost'!$Y$19:$Y$30</c:f>
              <c:numCache>
                <c:formatCode>General</c:formatCode>
                <c:ptCount val="12"/>
                <c:pt idx="0">
                  <c:v>189.99562</c:v>
                </c:pt>
                <c:pt idx="1">
                  <c:v>191.00142000000002</c:v>
                </c:pt>
                <c:pt idx="2">
                  <c:v>198.94724000000002</c:v>
                </c:pt>
                <c:pt idx="3">
                  <c:v>202.86985999999999</c:v>
                </c:pt>
                <c:pt idx="4">
                  <c:v>211.7209</c:v>
                </c:pt>
                <c:pt idx="5">
                  <c:v>222.38238000000001</c:v>
                </c:pt>
                <c:pt idx="6">
                  <c:v>236.46358000000001</c:v>
                </c:pt>
                <c:pt idx="7">
                  <c:v>237.97228000000001</c:v>
                </c:pt>
                <c:pt idx="8">
                  <c:v>247.29463999999996</c:v>
                </c:pt>
                <c:pt idx="9">
                  <c:v>258.73783000000003</c:v>
                </c:pt>
                <c:pt idx="10">
                  <c:v>266.04672000000005</c:v>
                </c:pt>
                <c:pt idx="11">
                  <c:v>277.32900000000001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857720"/>
        <c:axId val="527856936"/>
      </c:scatterChart>
      <c:valAx>
        <c:axId val="527857720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176460766831628"/>
              <c:y val="0.8237356800988118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7856936"/>
        <c:crosses val="autoZero"/>
        <c:crossBetween val="midCat"/>
        <c:majorUnit val="200"/>
        <c:minorUnit val="100"/>
      </c:valAx>
      <c:valAx>
        <c:axId val="527856936"/>
        <c:scaling>
          <c:orientation val="minMax"/>
          <c:max val="300"/>
          <c:min val="1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7857720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8445980134836093"/>
          <c:w val="0.83957150394368663"/>
          <c:h val="8.7445833976635301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FD</a:t>
            </a:r>
          </a:p>
        </c:rich>
      </c:tx>
      <c:layout>
        <c:manualLayout>
          <c:xMode val="edge"/>
          <c:yMode val="edge"/>
          <c:x val="0.48390023582077651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6265005917081518"/>
          <c:y val="0.12403426943457722"/>
          <c:w val="0.77550473697085165"/>
          <c:h val="0.66316568362534201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boost'!$V$17:$V$24</c:f>
              <c:numCache>
                <c:formatCode>General</c:formatCode>
                <c:ptCount val="8"/>
                <c:pt idx="0">
                  <c:v>64.014626061762598</c:v>
                </c:pt>
                <c:pt idx="1">
                  <c:v>64.257028112449802</c:v>
                </c:pt>
                <c:pt idx="2">
                  <c:v>65.333727949050157</c:v>
                </c:pt>
                <c:pt idx="3">
                  <c:v>70.015067242470579</c:v>
                </c:pt>
                <c:pt idx="4">
                  <c:v>77.096098359202301</c:v>
                </c:pt>
                <c:pt idx="5">
                  <c:v>82.669087217540408</c:v>
                </c:pt>
                <c:pt idx="6">
                  <c:v>86.945048772911932</c:v>
                </c:pt>
                <c:pt idx="7">
                  <c:v>91.638659601326012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boost'!$V$19:$V$30</c:f>
              <c:numCache>
                <c:formatCode>General</c:formatCode>
                <c:ptCount val="12"/>
                <c:pt idx="0">
                  <c:v>48.18698864569987</c:v>
                </c:pt>
                <c:pt idx="1">
                  <c:v>48.83495068585637</c:v>
                </c:pt>
                <c:pt idx="2">
                  <c:v>48.817636835836062</c:v>
                </c:pt>
                <c:pt idx="3">
                  <c:v>47.810288774144198</c:v>
                </c:pt>
                <c:pt idx="4">
                  <c:v>47.962550840303898</c:v>
                </c:pt>
                <c:pt idx="5">
                  <c:v>48.939092241012794</c:v>
                </c:pt>
                <c:pt idx="6">
                  <c:v>49.888996981715685</c:v>
                </c:pt>
                <c:pt idx="7">
                  <c:v>51.790112283552943</c:v>
                </c:pt>
                <c:pt idx="8">
                  <c:v>55.317689490745359</c:v>
                </c:pt>
                <c:pt idx="9">
                  <c:v>57.677211791298483</c:v>
                </c:pt>
                <c:pt idx="10">
                  <c:v>60.09073701288947</c:v>
                </c:pt>
                <c:pt idx="11">
                  <c:v>60.946418651310601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boost'!$V$19:$V$30</c:f>
              <c:numCache>
                <c:formatCode>General</c:formatCode>
                <c:ptCount val="12"/>
                <c:pt idx="0">
                  <c:v>61.138166448046782</c:v>
                </c:pt>
                <c:pt idx="1">
                  <c:v>62.26456212446687</c:v>
                </c:pt>
                <c:pt idx="2">
                  <c:v>62.26456212446687</c:v>
                </c:pt>
                <c:pt idx="3">
                  <c:v>63.990826275145196</c:v>
                </c:pt>
                <c:pt idx="4">
                  <c:v>66.535193125051563</c:v>
                </c:pt>
                <c:pt idx="5">
                  <c:v>69.708210145855716</c:v>
                </c:pt>
                <c:pt idx="6">
                  <c:v>73.997007561014229</c:v>
                </c:pt>
                <c:pt idx="7">
                  <c:v>75.965906501162294</c:v>
                </c:pt>
                <c:pt idx="8">
                  <c:v>78.438755020080336</c:v>
                </c:pt>
                <c:pt idx="9">
                  <c:v>85.888276958773417</c:v>
                </c:pt>
                <c:pt idx="10">
                  <c:v>86.833821773580823</c:v>
                </c:pt>
                <c:pt idx="11">
                  <c:v>91.456060507329639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858896"/>
        <c:axId val="527857328"/>
      </c:scatterChart>
      <c:valAx>
        <c:axId val="527858896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803948998760964"/>
              <c:y val="0.7673462870373142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7857328"/>
        <c:crosses val="autoZero"/>
        <c:crossBetween val="midCat"/>
        <c:majorUnit val="200"/>
      </c:valAx>
      <c:valAx>
        <c:axId val="527857328"/>
        <c:scaling>
          <c:orientation val="minMax"/>
          <c:max val="100"/>
          <c:min val="4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mm^3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7858896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92142510703272351"/>
          <c:w val="0.83743528251861965"/>
          <c:h val="7.8574892967276377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Boost</a:t>
            </a:r>
          </a:p>
        </c:rich>
      </c:tx>
      <c:layout>
        <c:manualLayout>
          <c:xMode val="edge"/>
          <c:yMode val="edge"/>
          <c:x val="0.4200137168783552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578591648330334"/>
          <c:y val="6.435935966019514E-2"/>
          <c:w val="0.80991701672394878"/>
          <c:h val="0.65151850293522451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boost'!$P$17:$P$24</c:f>
              <c:numCache>
                <c:formatCode>General</c:formatCode>
                <c:ptCount val="8"/>
                <c:pt idx="0">
                  <c:v>1126.6638499999999</c:v>
                </c:pt>
                <c:pt idx="1">
                  <c:v>993.33084999999994</c:v>
                </c:pt>
                <c:pt idx="2">
                  <c:v>833.33124999999995</c:v>
                </c:pt>
                <c:pt idx="3">
                  <c:v>719.9982</c:v>
                </c:pt>
                <c:pt idx="4">
                  <c:v>686.66494999999998</c:v>
                </c:pt>
                <c:pt idx="5">
                  <c:v>579.99854999999991</c:v>
                </c:pt>
                <c:pt idx="6">
                  <c:v>526.66534999999999</c:v>
                </c:pt>
                <c:pt idx="7">
                  <c:v>479.99879999999996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boost'!$P$19:$P$30</c:f>
              <c:numCache>
                <c:formatCode>General</c:formatCode>
                <c:ptCount val="12"/>
                <c:pt idx="0">
                  <c:v>824.6</c:v>
                </c:pt>
                <c:pt idx="1">
                  <c:v>824.6</c:v>
                </c:pt>
                <c:pt idx="2">
                  <c:v>691.6</c:v>
                </c:pt>
                <c:pt idx="3">
                  <c:v>532</c:v>
                </c:pt>
                <c:pt idx="4">
                  <c:v>425.6</c:v>
                </c:pt>
                <c:pt idx="5">
                  <c:v>372.40000000000003</c:v>
                </c:pt>
                <c:pt idx="6">
                  <c:v>345.8</c:v>
                </c:pt>
                <c:pt idx="7">
                  <c:v>332.5</c:v>
                </c:pt>
                <c:pt idx="8">
                  <c:v>305.90000000000003</c:v>
                </c:pt>
                <c:pt idx="9">
                  <c:v>279.3</c:v>
                </c:pt>
                <c:pt idx="10">
                  <c:v>252.70000000000002</c:v>
                </c:pt>
                <c:pt idx="11">
                  <c:v>199.5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boost'!$P$19:$P$30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855760"/>
        <c:axId val="529501096"/>
      </c:scatterChart>
      <c:valAx>
        <c:axId val="527855760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947836294332592"/>
              <c:y val="0.8084682578740157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9501096"/>
        <c:crosses val="autoZero"/>
        <c:crossBetween val="midCat"/>
        <c:majorUnit val="200"/>
      </c:valAx>
      <c:valAx>
        <c:axId val="529501096"/>
        <c:scaling>
          <c:orientation val="minMax"/>
          <c:max val="14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mbar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7855760"/>
        <c:crosses val="autoZero"/>
        <c:crossBetween val="midCat"/>
        <c:majorUnit val="200"/>
      </c:valAx>
    </c:plotArea>
    <c:legend>
      <c:legendPos val="b"/>
      <c:layout>
        <c:manualLayout>
          <c:xMode val="edge"/>
          <c:yMode val="edge"/>
          <c:x val="0"/>
          <c:y val="0.91605930118110235"/>
          <c:w val="0.82899748084253289"/>
          <c:h val="8.3940698818897708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Power</a:t>
            </a:r>
          </a:p>
        </c:rich>
      </c:tx>
      <c:layout>
        <c:manualLayout>
          <c:xMode val="edge"/>
          <c:yMode val="edge"/>
          <c:x val="0.42001392683057481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8791908086961241E-2"/>
          <c:y val="0.12403426943457722"/>
          <c:w val="0.84771826870697753"/>
          <c:h val="0.60961794172615558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boost'!$X$17:$X$24</c:f>
              <c:numCache>
                <c:formatCode>General</c:formatCode>
                <c:ptCount val="8"/>
                <c:pt idx="0">
                  <c:v>60.637701005735138</c:v>
                </c:pt>
                <c:pt idx="1">
                  <c:v>57.1626048949053</c:v>
                </c:pt>
                <c:pt idx="2">
                  <c:v>53.796553913895067</c:v>
                </c:pt>
                <c:pt idx="3">
                  <c:v>50.09188910870818</c:v>
                </c:pt>
                <c:pt idx="4">
                  <c:v>49.052144460930286</c:v>
                </c:pt>
                <c:pt idx="5">
                  <c:v>43.851406095126691</c:v>
                </c:pt>
                <c:pt idx="6">
                  <c:v>42.057330310907808</c:v>
                </c:pt>
                <c:pt idx="7">
                  <c:v>38.922531275313055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boost'!$X$19:$X$30</c:f>
              <c:numCache>
                <c:formatCode>General</c:formatCode>
                <c:ptCount val="12"/>
                <c:pt idx="0">
                  <c:v>44.042464649642724</c:v>
                </c:pt>
                <c:pt idx="1">
                  <c:v>44.181467677918093</c:v>
                </c:pt>
                <c:pt idx="2">
                  <c:v>41.471625137003336</c:v>
                </c:pt>
                <c:pt idx="3">
                  <c:v>37.505023257969974</c:v>
                </c:pt>
                <c:pt idx="4">
                  <c:v>33.796365142746595</c:v>
                </c:pt>
                <c:pt idx="5">
                  <c:v>32.543904867358179</c:v>
                </c:pt>
                <c:pt idx="6">
                  <c:v>31.337301261091522</c:v>
                </c:pt>
                <c:pt idx="7">
                  <c:v>30.011756919290281</c:v>
                </c:pt>
                <c:pt idx="8">
                  <c:v>29.885340197158701</c:v>
                </c:pt>
                <c:pt idx="9">
                  <c:v>28.579928673585453</c:v>
                </c:pt>
                <c:pt idx="10">
                  <c:v>27.09984161792136</c:v>
                </c:pt>
                <c:pt idx="11">
                  <c:v>25.497579485135947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boost'!$L$19:$L$29</c:f>
              <c:numCache>
                <c:formatCode>General</c:formatCode>
                <c:ptCount val="11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</c:numCache>
            </c:numRef>
          </c:xVal>
          <c:yVal>
            <c:numRef>
              <c:f>'[1]1 Bar boost'!$X$19:$X$30</c:f>
              <c:numCache>
                <c:formatCode>General</c:formatCode>
                <c:ptCount val="12"/>
                <c:pt idx="0">
                  <c:v>59.553482980082393</c:v>
                </c:pt>
                <c:pt idx="1">
                  <c:v>58.508094226196974</c:v>
                </c:pt>
                <c:pt idx="2">
                  <c:v>56.690307201791704</c:v>
                </c:pt>
                <c:pt idx="3">
                  <c:v>52.027257160471422</c:v>
                </c:pt>
                <c:pt idx="4">
                  <c:v>48.264144250665936</c:v>
                </c:pt>
                <c:pt idx="5">
                  <c:v>47.526138481987402</c:v>
                </c:pt>
                <c:pt idx="6">
                  <c:v>47.166450233563502</c:v>
                </c:pt>
                <c:pt idx="7">
                  <c:v>44.076857151484056</c:v>
                </c:pt>
                <c:pt idx="8">
                  <c:v>42.280181753583967</c:v>
                </c:pt>
                <c:pt idx="9">
                  <c:v>40.550247829945896</c:v>
                </c:pt>
                <c:pt idx="10">
                  <c:v>37.905201114700212</c:v>
                </c:pt>
                <c:pt idx="11">
                  <c:v>35.561386992272723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498744"/>
        <c:axId val="529503840"/>
      </c:scatterChart>
      <c:valAx>
        <c:axId val="529498744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631956719695807"/>
              <c:y val="0.822843638569084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9503840"/>
        <c:crosses val="autoZero"/>
        <c:crossBetween val="midCat"/>
        <c:majorUnit val="200"/>
      </c:valAx>
      <c:valAx>
        <c:axId val="529503840"/>
        <c:scaling>
          <c:orientation val="minMax"/>
          <c:max val="70"/>
          <c:min val="2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Ps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9498744"/>
        <c:crosses val="autoZero"/>
        <c:crossBetween val="midCat"/>
        <c:majorUnit val="10"/>
      </c:valAx>
    </c:plotArea>
    <c:legend>
      <c:legendPos val="b"/>
      <c:layout>
        <c:manualLayout>
          <c:xMode val="edge"/>
          <c:yMode val="edge"/>
          <c:x val="0"/>
          <c:y val="0.93146113707898071"/>
          <c:w val="0.84171862445765711"/>
          <c:h val="6.8538862921019308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SD</a:t>
            </a:r>
          </a:p>
        </c:rich>
      </c:tx>
      <c:layout>
        <c:manualLayout>
          <c:xMode val="edge"/>
          <c:yMode val="edge"/>
          <c:x val="0.42001399825021901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801617985412549"/>
          <c:y val="0.12403419040175823"/>
          <c:w val="0.76505313442503564"/>
          <c:h val="0.59256856833416038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boost'!$R$17:$R$24</c:f>
              <c:numCache>
                <c:formatCode>General</c:formatCode>
                <c:ptCount val="8"/>
                <c:pt idx="0">
                  <c:v>2.677</c:v>
                </c:pt>
                <c:pt idx="1">
                  <c:v>1.9370000000000001</c:v>
                </c:pt>
                <c:pt idx="2">
                  <c:v>2.2029999999999998</c:v>
                </c:pt>
                <c:pt idx="3">
                  <c:v>2.9289999999999998</c:v>
                </c:pt>
                <c:pt idx="4">
                  <c:v>3.3780000000000001</c:v>
                </c:pt>
                <c:pt idx="5">
                  <c:v>4.125</c:v>
                </c:pt>
                <c:pt idx="6">
                  <c:v>4.3099999999999996</c:v>
                </c:pt>
                <c:pt idx="7">
                  <c:v>5.1349999999999998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boost'!$R$19:$R$30</c:f>
              <c:numCache>
                <c:formatCode>General</c:formatCode>
                <c:ptCount val="12"/>
                <c:pt idx="0">
                  <c:v>1.177</c:v>
                </c:pt>
                <c:pt idx="1">
                  <c:v>1.159</c:v>
                </c:pt>
                <c:pt idx="2">
                  <c:v>1.081</c:v>
                </c:pt>
                <c:pt idx="3">
                  <c:v>1.256</c:v>
                </c:pt>
                <c:pt idx="4">
                  <c:v>1.615</c:v>
                </c:pt>
                <c:pt idx="5">
                  <c:v>1.778</c:v>
                </c:pt>
                <c:pt idx="6">
                  <c:v>1.7270000000000001</c:v>
                </c:pt>
                <c:pt idx="7">
                  <c:v>1.732</c:v>
                </c:pt>
                <c:pt idx="8">
                  <c:v>2.33</c:v>
                </c:pt>
                <c:pt idx="9">
                  <c:v>1.903</c:v>
                </c:pt>
                <c:pt idx="10">
                  <c:v>1.4419999999999999</c:v>
                </c:pt>
                <c:pt idx="11">
                  <c:v>1.8779999999999999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boost'!$R$19:$R$30</c:f>
              <c:numCache>
                <c:formatCode>General</c:formatCode>
                <c:ptCount val="12"/>
                <c:pt idx="0">
                  <c:v>2.157</c:v>
                </c:pt>
                <c:pt idx="1">
                  <c:v>2.02</c:v>
                </c:pt>
                <c:pt idx="2">
                  <c:v>1.9</c:v>
                </c:pt>
                <c:pt idx="3">
                  <c:v>2.0059999999999998</c:v>
                </c:pt>
                <c:pt idx="4">
                  <c:v>2.6539999999999999</c:v>
                </c:pt>
                <c:pt idx="5">
                  <c:v>2.9220000000000002</c:v>
                </c:pt>
                <c:pt idx="6">
                  <c:v>3.0379999999999998</c:v>
                </c:pt>
                <c:pt idx="7">
                  <c:v>3.165</c:v>
                </c:pt>
                <c:pt idx="8">
                  <c:v>3.3450000000000002</c:v>
                </c:pt>
                <c:pt idx="9">
                  <c:v>3.7709999999999999</c:v>
                </c:pt>
                <c:pt idx="10">
                  <c:v>4.2770000000000001</c:v>
                </c:pt>
                <c:pt idx="11">
                  <c:v>4.468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505016"/>
        <c:axId val="529499136"/>
      </c:scatterChart>
      <c:valAx>
        <c:axId val="529505016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51447795948583352"/>
              <c:y val="0.8150139247861187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9499136"/>
        <c:crosses val="autoZero"/>
        <c:crossBetween val="midCat"/>
        <c:majorUnit val="200"/>
      </c:valAx>
      <c:valAx>
        <c:axId val="529499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FSN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950501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92723327522990917"/>
          <c:w val="0.84604643650313049"/>
          <c:h val="7.2766724770090788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SFC</a:t>
            </a:r>
          </a:p>
        </c:rich>
      </c:tx>
      <c:layout>
        <c:manualLayout>
          <c:xMode val="edge"/>
          <c:yMode val="edge"/>
          <c:x val="0.42001375782225725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602663199210214"/>
          <c:y val="7.2752271350696937E-2"/>
          <c:w val="0.82212815141226558"/>
          <c:h val="0.62572097718554698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boost'!$Z$17:$Z$24</c:f>
              <c:numCache>
                <c:formatCode>General</c:formatCode>
                <c:ptCount val="8"/>
                <c:pt idx="0">
                  <c:v>173.49212573206003</c:v>
                </c:pt>
                <c:pt idx="1">
                  <c:v>167.94196166619435</c:v>
                </c:pt>
                <c:pt idx="2">
                  <c:v>163.29620432732349</c:v>
                </c:pt>
                <c:pt idx="3">
                  <c:v>167.05700235540368</c:v>
                </c:pt>
                <c:pt idx="4">
                  <c:v>164.37018309825925</c:v>
                </c:pt>
                <c:pt idx="5">
                  <c:v>168.99017929105503</c:v>
                </c:pt>
                <c:pt idx="6">
                  <c:v>169.86990388729606</c:v>
                </c:pt>
                <c:pt idx="7">
                  <c:v>175.8726282162643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boost'!$Z$19:$Z$30</c:f>
              <c:numCache>
                <c:formatCode>General</c:formatCode>
                <c:ptCount val="12"/>
                <c:pt idx="0">
                  <c:v>179.80487188966967</c:v>
                </c:pt>
                <c:pt idx="1">
                  <c:v>177.52097580999924</c:v>
                </c:pt>
                <c:pt idx="2">
                  <c:v>175.86373620951645</c:v>
                </c:pt>
                <c:pt idx="3">
                  <c:v>171.4056110391914</c:v>
                </c:pt>
                <c:pt idx="4">
                  <c:v>169.61836138947717</c:v>
                </c:pt>
                <c:pt idx="5">
                  <c:v>168.4993029556698</c:v>
                </c:pt>
                <c:pt idx="6">
                  <c:v>166.49140463240059</c:v>
                </c:pt>
                <c:pt idx="7">
                  <c:v>167.57891973405867</c:v>
                </c:pt>
                <c:pt idx="8">
                  <c:v>165.92341439773375</c:v>
                </c:pt>
                <c:pt idx="9">
                  <c:v>165.82744299397964</c:v>
                </c:pt>
                <c:pt idx="10">
                  <c:v>165.63853465085842</c:v>
                </c:pt>
                <c:pt idx="11">
                  <c:v>160.69869409824747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boost'!$Z$19:$Z$30</c:f>
              <c:numCache>
                <c:formatCode>General</c:formatCode>
                <c:ptCount val="12"/>
                <c:pt idx="0">
                  <c:v>168.71299160508153</c:v>
                </c:pt>
                <c:pt idx="1">
                  <c:v>170.91652244455614</c:v>
                </c:pt>
                <c:pt idx="2">
                  <c:v>164.09023059768052</c:v>
                </c:pt>
                <c:pt idx="3">
                  <c:v>165.37882199742813</c:v>
                </c:pt>
                <c:pt idx="4">
                  <c:v>164.76592314586492</c:v>
                </c:pt>
                <c:pt idx="5">
                  <c:v>164.34756107533244</c:v>
                </c:pt>
                <c:pt idx="6">
                  <c:v>164.07016030271657</c:v>
                </c:pt>
                <c:pt idx="7">
                  <c:v>167.3678582611802</c:v>
                </c:pt>
                <c:pt idx="8">
                  <c:v>166.30131916128724</c:v>
                </c:pt>
                <c:pt idx="9">
                  <c:v>174.04183933225121</c:v>
                </c:pt>
                <c:pt idx="10">
                  <c:v>171.12391692260215</c:v>
                </c:pt>
                <c:pt idx="11">
                  <c:v>172.90076310138923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494040"/>
        <c:axId val="529500704"/>
      </c:scatterChart>
      <c:valAx>
        <c:axId val="529494040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7093907154735432"/>
              <c:y val="0.797741128815591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9500704"/>
        <c:crosses val="autoZero"/>
        <c:crossBetween val="midCat"/>
        <c:majorUnit val="200"/>
      </c:valAx>
      <c:valAx>
        <c:axId val="529500704"/>
        <c:scaling>
          <c:orientation val="minMax"/>
          <c:max val="200"/>
          <c:min val="14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g/PSh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9494040"/>
        <c:crosses val="autoZero"/>
        <c:crossBetween val="midCat"/>
        <c:majorUnit val="2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334822650985421E-4"/>
          <c:y val="0.91975530617727952"/>
          <c:w val="0.83957150394368663"/>
          <c:h val="8.0244693822720925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195262</xdr:colOff>
      <xdr:row>74</xdr:row>
      <xdr:rowOff>114300</xdr:rowOff>
    </xdr:from>
    <xdr:ext cx="1728788" cy="26456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/>
            <xdr:cNvSpPr txBox="1"/>
          </xdr:nvSpPr>
          <xdr:spPr>
            <a:xfrm>
              <a:off x="5300662" y="19554825"/>
              <a:ext cx="1728788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latin typeface="Cambria Math"/>
                      </a:rPr>
                      <m:t>𝐹𝑢𝑒𝑙</m:t>
                    </m:r>
                    <m:r>
                      <a:rPr lang="en-GB" sz="1100" i="1">
                        <a:latin typeface="Cambria Math"/>
                      </a:rPr>
                      <m:t> </m:t>
                    </m:r>
                    <m:r>
                      <a:rPr lang="en-GB" sz="1100" i="1">
                        <a:latin typeface="Cambria Math"/>
                      </a:rPr>
                      <m:t>𝑑𝑒𝑛𝑠𝑖𝑡𝑦</m:t>
                    </m:r>
                  </m:oMath>
                </m:oMathPara>
              </a14:m>
              <a:endParaRPr lang="en-GB" sz="1100"/>
            </a:p>
          </xdr:txBody>
        </xdr:sp>
      </mc:Choice>
      <mc:Fallback>
        <xdr:sp macro="" textlink="">
          <xdr:nvSpPr>
            <xdr:cNvPr id="2" name="TextBox 1"/>
            <xdr:cNvSpPr txBox="1"/>
          </xdr:nvSpPr>
          <xdr:spPr>
            <a:xfrm>
              <a:off x="5300662" y="19554825"/>
              <a:ext cx="1728788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GB" sz="1100" i="0">
                  <a:latin typeface="Cambria Math"/>
                </a:rPr>
                <a:t>𝐹𝑢𝑒𝑙 𝑑𝑒𝑛𝑠𝑖𝑡𝑦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7</xdr:col>
      <xdr:colOff>128586</xdr:colOff>
      <xdr:row>76</xdr:row>
      <xdr:rowOff>95250</xdr:rowOff>
    </xdr:from>
    <xdr:ext cx="2728914" cy="26456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4519611" y="19935825"/>
              <a:ext cx="272891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i="1">
                      <a:latin typeface="Cambria Math"/>
                    </a:rPr>
                    <m:t>𝑉𝑜𝑙𝑢𝑚𝑒</m:t>
                  </m:r>
                  <m:r>
                    <a:rPr lang="en-GB" sz="1100" i="1">
                      <a:latin typeface="Cambria Math"/>
                    </a:rPr>
                    <m:t> </m:t>
                  </m:r>
                  <m:r>
                    <a:rPr lang="en-GB" sz="1100" i="1">
                      <a:latin typeface="Cambria Math"/>
                    </a:rPr>
                    <m:t>𝑓𝑙𝑜𝑤</m:t>
                  </m:r>
                  <m:r>
                    <a:rPr lang="en-GB" sz="1100" i="1">
                      <a:latin typeface="Cambria Math"/>
                    </a:rPr>
                    <m:t> </m:t>
                  </m:r>
                  <m:r>
                    <a:rPr lang="en-GB" sz="1100" i="1">
                      <a:latin typeface="Cambria Math"/>
                    </a:rPr>
                    <m:t>𝑜𝑓</m:t>
                  </m:r>
                  <m:r>
                    <a:rPr lang="en-GB" sz="1100" i="1">
                      <a:latin typeface="Cambria Math"/>
                    </a:rPr>
                    <m:t> </m:t>
                  </m:r>
                  <m:r>
                    <a:rPr lang="en-GB" sz="1100" i="1">
                      <a:latin typeface="Cambria Math"/>
                    </a:rPr>
                    <m:t>𝑓𝑢𝑒𝑙</m:t>
                  </m:r>
                </m:oMath>
              </a14:m>
              <a:r>
                <a:rPr lang="en-GB" sz="1100"/>
                <a:t>=(Massflow/density)</a:t>
              </a:r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4519611" y="19935825"/>
              <a:ext cx="272891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GB" sz="1100" i="0">
                  <a:latin typeface="Cambria Math"/>
                </a:rPr>
                <a:t>𝑉𝑜𝑙𝑢𝑚𝑒 𝑓𝑙𝑜𝑤 𝑜𝑓 𝑓𝑢𝑒𝑙</a:t>
              </a:r>
              <a:r>
                <a:rPr lang="en-GB" sz="1100"/>
                <a:t>=(Massflow/density)</a:t>
              </a:r>
            </a:p>
          </xdr:txBody>
        </xdr:sp>
      </mc:Fallback>
    </mc:AlternateContent>
    <xdr:clientData/>
  </xdr:oneCellAnchor>
  <xdr:oneCellAnchor>
    <xdr:from>
      <xdr:col>8</xdr:col>
      <xdr:colOff>23812</xdr:colOff>
      <xdr:row>79</xdr:row>
      <xdr:rowOff>0</xdr:rowOff>
    </xdr:from>
    <xdr:ext cx="1804988" cy="43338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5129212" y="20440650"/>
              <a:ext cx="1804988" cy="4333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𝐹𝑢𝑒𝑙</m:t>
                    </m:r>
                    <m:r>
                      <a:rPr lang="en-US" sz="1100" b="0" i="1">
                        <a:latin typeface="Cambria Math"/>
                      </a:rPr>
                      <m:t> </m:t>
                    </m:r>
                    <m:r>
                      <a:rPr lang="en-US" sz="1100" b="0" i="1">
                        <a:latin typeface="Cambria Math"/>
                      </a:rPr>
                      <m:t>𝑑𝑒𝑙𝑖𝑣𝑒𝑟𝑦</m:t>
                    </m:r>
                    <m:r>
                      <a:rPr lang="en-US" sz="1100" b="0" i="1">
                        <a:latin typeface="Cambria Math"/>
                      </a:rPr>
                      <m:t> </m:t>
                    </m:r>
                    <m:r>
                      <a:rPr lang="en-US" sz="1100" b="0" i="1">
                        <a:latin typeface="Cambria Math"/>
                      </a:rPr>
                      <m:t>𝑖𝑛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/>
                          </a:rPr>
                          <m:t>𝑚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/>
                              </a:rPr>
                              <m:t>𝑚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/>
                              </a:rPr>
                              <m:t>3</m:t>
                            </m:r>
                          </m:sup>
                        </m:sSup>
                      </m:num>
                      <m:den>
                        <m:r>
                          <a:rPr lang="en-US" sz="1100" b="0" i="1">
                            <a:latin typeface="Cambria Math"/>
                          </a:rPr>
                          <m:t>𝑆𝑡𝑟𝑜𝑘𝑒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5129212" y="20440650"/>
              <a:ext cx="1804988" cy="4333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𝐹𝑢𝑒𝑙 𝑑𝑒𝑙𝑖𝑣𝑒𝑟𝑦 𝑖𝑛 </a:t>
              </a:r>
              <a:r>
                <a:rPr lang="en-US" sz="1100" b="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/>
                </a:rPr>
                <a:t>𝑚𝑚</a:t>
              </a:r>
              <a:r>
                <a:rPr lang="en-US" sz="1100" b="0" i="0">
                  <a:latin typeface="Cambria Math" panose="02040503050406030204" pitchFamily="18" charset="0"/>
                </a:rPr>
                <a:t>^</a:t>
              </a:r>
              <a:r>
                <a:rPr lang="en-US" sz="1100" b="0" i="0">
                  <a:latin typeface="Cambria Math"/>
                </a:rPr>
                <a:t>3</a:t>
              </a:r>
              <a:r>
                <a:rPr lang="en-US" sz="1100" b="0" i="0">
                  <a:latin typeface="Cambria Math" panose="02040503050406030204" pitchFamily="18" charset="0"/>
                </a:rPr>
                <a:t>)/</a:t>
              </a:r>
              <a:r>
                <a:rPr lang="en-US" sz="1100" b="0" i="0">
                  <a:latin typeface="Cambria Math"/>
                </a:rPr>
                <a:t>𝑆𝑡𝑟𝑜𝑘𝑒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8</xdr:col>
      <xdr:colOff>42862</xdr:colOff>
      <xdr:row>81</xdr:row>
      <xdr:rowOff>152400</xdr:rowOff>
    </xdr:from>
    <xdr:ext cx="1804988" cy="60093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/>
            <xdr:cNvSpPr txBox="1"/>
          </xdr:nvSpPr>
          <xdr:spPr>
            <a:xfrm>
              <a:off x="5148262" y="20993100"/>
              <a:ext cx="1804988" cy="6009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𝐹𝑢𝑒𝑙</m:t>
                    </m:r>
                    <m:r>
                      <a:rPr lang="en-US" sz="1100" b="0" i="1">
                        <a:latin typeface="Cambria Math"/>
                      </a:rPr>
                      <m:t> </m:t>
                    </m:r>
                    <m:r>
                      <a:rPr lang="en-US" sz="1100" b="0" i="1">
                        <a:latin typeface="Cambria Math"/>
                      </a:rPr>
                      <m:t>𝑑𝑒𝑙𝑖𝑣𝑒𝑟𝑦</m:t>
                    </m:r>
                    <m:r>
                      <a:rPr lang="en-US" sz="1100" b="0" i="1">
                        <a:latin typeface="Cambria Math"/>
                      </a:rPr>
                      <m:t> </m:t>
                    </m:r>
                    <m:r>
                      <a:rPr lang="en-US" sz="1100" b="0" i="1">
                        <a:latin typeface="Cambria Math"/>
                      </a:rPr>
                      <m:t>𝑖𝑛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/>
                          </a:rPr>
                          <m:t>𝑚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/>
                              </a:rPr>
                              <m:t>𝑚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/>
                              </a:rPr>
                              <m:t>3</m:t>
                            </m:r>
                          </m:sup>
                        </m:sSup>
                      </m:num>
                      <m:den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/>
                              </a:rPr>
                              <m:t>𝑆𝑡𝑟𝑜𝑘𝑒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/>
                              </a:rPr>
                              <m:t>𝑐𝑦𝑙𝑖𝑛𝑑𝑒𝑟</m:t>
                            </m:r>
                          </m:den>
                        </m:f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>
        <xdr:sp macro="" textlink="">
          <xdr:nvSpPr>
            <xdr:cNvPr id="5" name="TextBox 4"/>
            <xdr:cNvSpPr txBox="1"/>
          </xdr:nvSpPr>
          <xdr:spPr>
            <a:xfrm>
              <a:off x="5148262" y="20993100"/>
              <a:ext cx="1804988" cy="6009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𝐹𝑢𝑒𝑙 𝑑𝑒𝑙𝑖𝑣𝑒𝑟𝑦 𝑖𝑛 </a:t>
              </a:r>
              <a:r>
                <a:rPr lang="en-US" sz="1100" b="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/>
                </a:rPr>
                <a:t>𝑚𝑚</a:t>
              </a:r>
              <a:r>
                <a:rPr lang="en-US" sz="1100" b="0" i="0">
                  <a:latin typeface="Cambria Math" panose="02040503050406030204" pitchFamily="18" charset="0"/>
                </a:rPr>
                <a:t>^</a:t>
              </a:r>
              <a:r>
                <a:rPr lang="en-US" sz="1100" b="0" i="0">
                  <a:latin typeface="Cambria Math"/>
                </a:rPr>
                <a:t>3</a:t>
              </a:r>
              <a:r>
                <a:rPr lang="en-US" sz="1100" b="0" i="0">
                  <a:latin typeface="Cambria Math" panose="02040503050406030204" pitchFamily="18" charset="0"/>
                </a:rPr>
                <a:t>)/(</a:t>
              </a:r>
              <a:r>
                <a:rPr lang="en-US" sz="1100" b="0" i="0">
                  <a:latin typeface="Cambria Math"/>
                </a:rPr>
                <a:t>𝑆𝑡𝑟𝑜𝑘𝑒</a:t>
              </a:r>
              <a:r>
                <a:rPr lang="en-US" sz="1100" b="0" i="0">
                  <a:latin typeface="Cambria Math" panose="02040503050406030204" pitchFamily="18" charset="0"/>
                </a:rPr>
                <a:t>/</a:t>
              </a:r>
              <a:r>
                <a:rPr lang="en-US" sz="1100" b="0" i="0">
                  <a:latin typeface="Cambria Math"/>
                </a:rPr>
                <a:t>𝑐𝑦𝑙𝑖𝑛𝑑𝑒𝑟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</xdr:row>
      <xdr:rowOff>19050</xdr:rowOff>
    </xdr:from>
    <xdr:to>
      <xdr:col>12</xdr:col>
      <xdr:colOff>96931</xdr:colOff>
      <xdr:row>14</xdr:row>
      <xdr:rowOff>86286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15</xdr:row>
      <xdr:rowOff>61633</xdr:rowOff>
    </xdr:from>
    <xdr:to>
      <xdr:col>12</xdr:col>
      <xdr:colOff>135031</xdr:colOff>
      <xdr:row>28</xdr:row>
      <xdr:rowOff>57150</xdr:rowOff>
    </xdr:to>
    <xdr:graphicFrame macro="">
      <xdr:nvGraphicFramePr>
        <xdr:cNvPr id="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</xdr:colOff>
      <xdr:row>30</xdr:row>
      <xdr:rowOff>94690</xdr:rowOff>
    </xdr:from>
    <xdr:to>
      <xdr:col>12</xdr:col>
      <xdr:colOff>125506</xdr:colOff>
      <xdr:row>42</xdr:row>
      <xdr:rowOff>171450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401731</xdr:colOff>
      <xdr:row>2</xdr:row>
      <xdr:rowOff>47625</xdr:rowOff>
    </xdr:from>
    <xdr:to>
      <xdr:col>18</xdr:col>
      <xdr:colOff>451036</xdr:colOff>
      <xdr:row>14</xdr:row>
      <xdr:rowOff>81803</xdr:rowOff>
    </xdr:to>
    <xdr:graphicFrame macro="">
      <xdr:nvGraphicFramePr>
        <xdr:cNvPr id="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363631</xdr:colOff>
      <xdr:row>15</xdr:row>
      <xdr:rowOff>61633</xdr:rowOff>
    </xdr:from>
    <xdr:to>
      <xdr:col>18</xdr:col>
      <xdr:colOff>393886</xdr:colOff>
      <xdr:row>28</xdr:row>
      <xdr:rowOff>47625</xdr:rowOff>
    </xdr:to>
    <xdr:graphicFrame macro="">
      <xdr:nvGraphicFramePr>
        <xdr:cNvPr id="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468406</xdr:colOff>
      <xdr:row>30</xdr:row>
      <xdr:rowOff>75640</xdr:rowOff>
    </xdr:from>
    <xdr:to>
      <xdr:col>18</xdr:col>
      <xdr:colOff>522754</xdr:colOff>
      <xdr:row>42</xdr:row>
      <xdr:rowOff>133350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d6-pc\D\58%20PS%20TCIC%20SJ327%20VE\MF2620%206Tby4%20TC%20ch%202%20FIP\4%20Tractors%20and%20engine%20test%20FAS%20redn\30788\Perf%20to%20BOSCH-E.No.3078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 No.4"/>
      <sheetName val="Zero bar boost"/>
      <sheetName val="1 Bar boost"/>
      <sheetName val="Engine boost"/>
      <sheetName val="Graphs"/>
    </sheetNames>
    <sheetDataSet>
      <sheetData sheetId="0"/>
      <sheetData sheetId="1">
        <row r="3">
          <cell r="L3" t="str">
            <v>Zero boost</v>
          </cell>
        </row>
        <row r="19">
          <cell r="B19">
            <v>2200</v>
          </cell>
          <cell r="L19">
            <v>2200</v>
          </cell>
          <cell r="P19">
            <v>824.6</v>
          </cell>
          <cell r="R19">
            <v>1.177</v>
          </cell>
          <cell r="V19">
            <v>48.18698864569987</v>
          </cell>
          <cell r="X19">
            <v>44.042464649642724</v>
          </cell>
          <cell r="Y19">
            <v>140.51025999999999</v>
          </cell>
          <cell r="Z19">
            <v>179.80487188966967</v>
          </cell>
        </row>
        <row r="20">
          <cell r="B20">
            <v>2150</v>
          </cell>
          <cell r="L20">
            <v>2150</v>
          </cell>
          <cell r="P20">
            <v>824.6</v>
          </cell>
          <cell r="R20">
            <v>1.159</v>
          </cell>
          <cell r="V20">
            <v>48.83495068585637</v>
          </cell>
          <cell r="X20">
            <v>44.181467677918093</v>
          </cell>
          <cell r="Y20">
            <v>144.23172</v>
          </cell>
          <cell r="Z20">
            <v>177.52097580999924</v>
          </cell>
        </row>
        <row r="21">
          <cell r="B21">
            <v>2000</v>
          </cell>
          <cell r="L21">
            <v>2000</v>
          </cell>
          <cell r="P21">
            <v>691.6</v>
          </cell>
          <cell r="R21">
            <v>1.081</v>
          </cell>
          <cell r="V21">
            <v>48.817636835836062</v>
          </cell>
          <cell r="X21">
            <v>41.471625137003336</v>
          </cell>
          <cell r="Y21">
            <v>145.53925999999998</v>
          </cell>
          <cell r="Z21">
            <v>175.86373620951645</v>
          </cell>
        </row>
        <row r="22">
          <cell r="B22">
            <v>1800</v>
          </cell>
          <cell r="L22">
            <v>1800</v>
          </cell>
          <cell r="P22">
            <v>532</v>
          </cell>
          <cell r="R22">
            <v>1.256</v>
          </cell>
          <cell r="V22">
            <v>47.810288774144198</v>
          </cell>
          <cell r="X22">
            <v>37.505023257969974</v>
          </cell>
          <cell r="Y22">
            <v>146.24332000000001</v>
          </cell>
          <cell r="Z22">
            <v>171.4056110391914</v>
          </cell>
        </row>
        <row r="23">
          <cell r="B23">
            <v>1600</v>
          </cell>
          <cell r="L23">
            <v>1600</v>
          </cell>
          <cell r="P23">
            <v>425.6</v>
          </cell>
          <cell r="R23">
            <v>1.615</v>
          </cell>
          <cell r="V23">
            <v>47.962550840303898</v>
          </cell>
          <cell r="X23">
            <v>33.796365142746595</v>
          </cell>
          <cell r="Y23">
            <v>148.25492</v>
          </cell>
          <cell r="Z23">
            <v>169.61836138947717</v>
          </cell>
        </row>
        <row r="24">
          <cell r="B24">
            <v>1500</v>
          </cell>
          <cell r="L24">
            <v>1500</v>
          </cell>
          <cell r="P24">
            <v>372.40000000000003</v>
          </cell>
          <cell r="R24">
            <v>1.778</v>
          </cell>
          <cell r="V24">
            <v>48.939092241012794</v>
          </cell>
          <cell r="X24">
            <v>32.543904867358179</v>
          </cell>
          <cell r="Y24">
            <v>152.27812</v>
          </cell>
          <cell r="Z24">
            <v>168.4993029556698</v>
          </cell>
        </row>
        <row r="25">
          <cell r="B25">
            <v>1400</v>
          </cell>
          <cell r="L25">
            <v>1400</v>
          </cell>
          <cell r="P25">
            <v>345.8</v>
          </cell>
          <cell r="R25">
            <v>1.7270000000000001</v>
          </cell>
          <cell r="V25">
            <v>49.888996981715685</v>
          </cell>
          <cell r="X25">
            <v>31.337301261091522</v>
          </cell>
          <cell r="Y25">
            <v>157.10595999999998</v>
          </cell>
          <cell r="Z25">
            <v>166.49140463240059</v>
          </cell>
        </row>
        <row r="26">
          <cell r="B26">
            <v>1300</v>
          </cell>
          <cell r="L26">
            <v>1300</v>
          </cell>
          <cell r="P26">
            <v>332.5</v>
          </cell>
          <cell r="R26">
            <v>1.732</v>
          </cell>
          <cell r="V26">
            <v>51.790112283552943</v>
          </cell>
          <cell r="X26">
            <v>30.011756919290281</v>
          </cell>
          <cell r="Y26">
            <v>162.03438</v>
          </cell>
          <cell r="Z26">
            <v>167.57891973405867</v>
          </cell>
        </row>
        <row r="27">
          <cell r="B27">
            <v>1200</v>
          </cell>
          <cell r="L27">
            <v>1200</v>
          </cell>
          <cell r="P27">
            <v>305.90000000000003</v>
          </cell>
          <cell r="R27">
            <v>2.33</v>
          </cell>
          <cell r="V27">
            <v>55.317689490745359</v>
          </cell>
          <cell r="X27">
            <v>29.885340197158701</v>
          </cell>
          <cell r="Y27">
            <v>174.79783999999998</v>
          </cell>
          <cell r="Z27">
            <v>165.92341439773375</v>
          </cell>
        </row>
        <row r="28">
          <cell r="B28">
            <v>1100</v>
          </cell>
          <cell r="L28">
            <v>1100</v>
          </cell>
          <cell r="P28">
            <v>279.3</v>
          </cell>
          <cell r="R28">
            <v>1.903</v>
          </cell>
          <cell r="V28">
            <v>57.677211791298483</v>
          </cell>
          <cell r="X28">
            <v>28.579928673585453</v>
          </cell>
          <cell r="Y28">
            <v>182.35915</v>
          </cell>
          <cell r="Z28">
            <v>165.82744299397964</v>
          </cell>
        </row>
        <row r="29">
          <cell r="B29">
            <v>1000</v>
          </cell>
          <cell r="L29">
            <v>1000</v>
          </cell>
          <cell r="P29">
            <v>252.70000000000002</v>
          </cell>
          <cell r="R29">
            <v>1.4419999999999999</v>
          </cell>
          <cell r="V29">
            <v>60.09073701288947</v>
          </cell>
          <cell r="X29">
            <v>27.09984161792136</v>
          </cell>
          <cell r="Y29">
            <v>190.20672000000002</v>
          </cell>
          <cell r="Z29">
            <v>165.63853465085842</v>
          </cell>
        </row>
        <row r="30">
          <cell r="B30">
            <v>900</v>
          </cell>
          <cell r="L30">
            <v>900</v>
          </cell>
          <cell r="P30">
            <v>199.5</v>
          </cell>
          <cell r="R30">
            <v>1.8779999999999999</v>
          </cell>
          <cell r="V30">
            <v>60.946418651310601</v>
          </cell>
          <cell r="X30">
            <v>25.497579485135947</v>
          </cell>
          <cell r="Y30">
            <v>198.84539999999998</v>
          </cell>
          <cell r="Z30">
            <v>160.69869409824747</v>
          </cell>
        </row>
      </sheetData>
      <sheetData sheetId="2">
        <row r="3">
          <cell r="L3" t="str">
            <v>one bar boost</v>
          </cell>
        </row>
        <row r="19">
          <cell r="B19">
            <v>2200</v>
          </cell>
          <cell r="L19">
            <v>2200</v>
          </cell>
          <cell r="P19">
            <v>0</v>
          </cell>
          <cell r="R19">
            <v>2.157</v>
          </cell>
          <cell r="V19">
            <v>61.138166448046782</v>
          </cell>
          <cell r="X19">
            <v>59.553482980082393</v>
          </cell>
          <cell r="Y19">
            <v>189.99562</v>
          </cell>
          <cell r="Z19">
            <v>168.71299160508153</v>
          </cell>
        </row>
        <row r="20">
          <cell r="B20">
            <v>2150</v>
          </cell>
          <cell r="L20">
            <v>2150</v>
          </cell>
          <cell r="P20">
            <v>0</v>
          </cell>
          <cell r="R20">
            <v>2.02</v>
          </cell>
          <cell r="V20">
            <v>62.26456212446687</v>
          </cell>
          <cell r="X20">
            <v>58.508094226196974</v>
          </cell>
          <cell r="Y20">
            <v>191.00142000000002</v>
          </cell>
          <cell r="Z20">
            <v>170.91652244455614</v>
          </cell>
        </row>
        <row r="21">
          <cell r="B21">
            <v>2000</v>
          </cell>
          <cell r="L21">
            <v>2000</v>
          </cell>
          <cell r="P21">
            <v>0</v>
          </cell>
          <cell r="R21">
            <v>1.9</v>
          </cell>
          <cell r="V21">
            <v>62.26456212446687</v>
          </cell>
          <cell r="X21">
            <v>56.690307201791704</v>
          </cell>
          <cell r="Y21">
            <v>198.94724000000002</v>
          </cell>
          <cell r="Z21">
            <v>164.09023059768052</v>
          </cell>
        </row>
        <row r="22">
          <cell r="B22">
            <v>1800</v>
          </cell>
          <cell r="L22">
            <v>1800</v>
          </cell>
          <cell r="P22">
            <v>0</v>
          </cell>
          <cell r="R22">
            <v>2.0059999999999998</v>
          </cell>
          <cell r="V22">
            <v>63.990826275145196</v>
          </cell>
          <cell r="X22">
            <v>52.027257160471422</v>
          </cell>
          <cell r="Y22">
            <v>202.86985999999999</v>
          </cell>
          <cell r="Z22">
            <v>165.37882199742813</v>
          </cell>
        </row>
        <row r="23">
          <cell r="B23">
            <v>1600</v>
          </cell>
          <cell r="L23">
            <v>1600</v>
          </cell>
          <cell r="P23">
            <v>0</v>
          </cell>
          <cell r="R23">
            <v>2.6539999999999999</v>
          </cell>
          <cell r="V23">
            <v>66.535193125051563</v>
          </cell>
          <cell r="X23">
            <v>48.264144250665936</v>
          </cell>
          <cell r="Y23">
            <v>211.7209</v>
          </cell>
          <cell r="Z23">
            <v>164.76592314586492</v>
          </cell>
        </row>
        <row r="24">
          <cell r="B24">
            <v>1500</v>
          </cell>
          <cell r="L24">
            <v>1500</v>
          </cell>
          <cell r="P24">
            <v>0</v>
          </cell>
          <cell r="R24">
            <v>2.9220000000000002</v>
          </cell>
          <cell r="V24">
            <v>69.708210145855716</v>
          </cell>
          <cell r="X24">
            <v>47.526138481987402</v>
          </cell>
          <cell r="Y24">
            <v>222.38238000000001</v>
          </cell>
          <cell r="Z24">
            <v>164.34756107533244</v>
          </cell>
        </row>
        <row r="25">
          <cell r="B25">
            <v>1400</v>
          </cell>
          <cell r="L25">
            <v>1400</v>
          </cell>
          <cell r="P25">
            <v>0</v>
          </cell>
          <cell r="R25">
            <v>3.0379999999999998</v>
          </cell>
          <cell r="V25">
            <v>73.997007561014229</v>
          </cell>
          <cell r="X25">
            <v>47.166450233563502</v>
          </cell>
          <cell r="Y25">
            <v>236.46358000000001</v>
          </cell>
          <cell r="Z25">
            <v>164.07016030271657</v>
          </cell>
        </row>
        <row r="26">
          <cell r="B26">
            <v>1300</v>
          </cell>
          <cell r="L26">
            <v>1300</v>
          </cell>
          <cell r="P26">
            <v>0</v>
          </cell>
          <cell r="R26">
            <v>3.165</v>
          </cell>
          <cell r="V26">
            <v>75.965906501162294</v>
          </cell>
          <cell r="X26">
            <v>44.076857151484056</v>
          </cell>
          <cell r="Y26">
            <v>237.97228000000001</v>
          </cell>
          <cell r="Z26">
            <v>167.3678582611802</v>
          </cell>
        </row>
        <row r="27">
          <cell r="B27">
            <v>1200</v>
          </cell>
          <cell r="L27">
            <v>1200</v>
          </cell>
          <cell r="P27">
            <v>0</v>
          </cell>
          <cell r="R27">
            <v>3.3450000000000002</v>
          </cell>
          <cell r="V27">
            <v>78.438755020080336</v>
          </cell>
          <cell r="X27">
            <v>42.280181753583967</v>
          </cell>
          <cell r="Y27">
            <v>247.29463999999996</v>
          </cell>
          <cell r="Z27">
            <v>166.30131916128724</v>
          </cell>
        </row>
        <row r="28">
          <cell r="B28">
            <v>1100</v>
          </cell>
          <cell r="L28">
            <v>1100</v>
          </cell>
          <cell r="P28">
            <v>0</v>
          </cell>
          <cell r="R28">
            <v>3.7709999999999999</v>
          </cell>
          <cell r="V28">
            <v>85.888276958773417</v>
          </cell>
          <cell r="X28">
            <v>40.550247829945896</v>
          </cell>
          <cell r="Y28">
            <v>258.73783000000003</v>
          </cell>
          <cell r="Z28">
            <v>174.04183933225121</v>
          </cell>
        </row>
        <row r="29">
          <cell r="B29">
            <v>1000</v>
          </cell>
          <cell r="L29">
            <v>1000</v>
          </cell>
          <cell r="P29">
            <v>0</v>
          </cell>
          <cell r="R29">
            <v>4.2770000000000001</v>
          </cell>
          <cell r="V29">
            <v>86.833821773580823</v>
          </cell>
          <cell r="X29">
            <v>37.905201114700212</v>
          </cell>
          <cell r="Y29">
            <v>266.04672000000005</v>
          </cell>
          <cell r="Z29">
            <v>171.12391692260215</v>
          </cell>
        </row>
        <row r="30">
          <cell r="B30">
            <v>900</v>
          </cell>
          <cell r="L30">
            <v>900</v>
          </cell>
          <cell r="P30">
            <v>0</v>
          </cell>
          <cell r="R30">
            <v>4.468</v>
          </cell>
          <cell r="V30">
            <v>91.456060507329639</v>
          </cell>
          <cell r="X30">
            <v>35.561386992272723</v>
          </cell>
          <cell r="Y30">
            <v>277.32900000000001</v>
          </cell>
          <cell r="Z30">
            <v>172.90076310138923</v>
          </cell>
        </row>
      </sheetData>
      <sheetData sheetId="3">
        <row r="3">
          <cell r="N3" t="str">
            <v>Engine boost</v>
          </cell>
        </row>
        <row r="17">
          <cell r="B17">
            <v>2200</v>
          </cell>
          <cell r="L17">
            <v>2200</v>
          </cell>
          <cell r="P17">
            <v>1126.6638499999999</v>
          </cell>
          <cell r="R17">
            <v>2.677</v>
          </cell>
          <cell r="V17">
            <v>64.014626061762598</v>
          </cell>
          <cell r="X17">
            <v>60.637701005735138</v>
          </cell>
          <cell r="Y17">
            <v>193.45463978676821</v>
          </cell>
          <cell r="Z17">
            <v>173.49212573206003</v>
          </cell>
        </row>
        <row r="18">
          <cell r="B18">
            <v>2000</v>
          </cell>
          <cell r="L18">
            <v>2000</v>
          </cell>
          <cell r="P18">
            <v>993.33084999999994</v>
          </cell>
          <cell r="R18">
            <v>1.9370000000000001</v>
          </cell>
          <cell r="V18">
            <v>64.257028112449802</v>
          </cell>
          <cell r="X18">
            <v>57.1626048949053</v>
          </cell>
          <cell r="Y18">
            <v>200.6047071604593</v>
          </cell>
          <cell r="Z18">
            <v>167.94196166619435</v>
          </cell>
        </row>
        <row r="19">
          <cell r="B19">
            <v>1800</v>
          </cell>
          <cell r="L19">
            <v>1800</v>
          </cell>
          <cell r="P19">
            <v>833.33124999999995</v>
          </cell>
          <cell r="R19">
            <v>2.2029999999999998</v>
          </cell>
          <cell r="V19">
            <v>65.333727949050157</v>
          </cell>
          <cell r="X19">
            <v>53.796553913895067</v>
          </cell>
          <cell r="Y19">
            <v>209.76887801969715</v>
          </cell>
          <cell r="Z19">
            <v>163.29620432732349</v>
          </cell>
        </row>
        <row r="20">
          <cell r="B20">
            <v>1600</v>
          </cell>
          <cell r="L20">
            <v>1600</v>
          </cell>
          <cell r="P20">
            <v>719.9982</v>
          </cell>
          <cell r="R20">
            <v>2.9289999999999998</v>
          </cell>
          <cell r="V20">
            <v>70.015067242470579</v>
          </cell>
          <cell r="X20">
            <v>50.09188910870818</v>
          </cell>
          <cell r="Y20">
            <v>219.73869027315371</v>
          </cell>
          <cell r="Z20">
            <v>167.05700235540368</v>
          </cell>
        </row>
        <row r="21">
          <cell r="B21">
            <v>1400</v>
          </cell>
          <cell r="L21">
            <v>1400</v>
          </cell>
          <cell r="P21">
            <v>686.66494999999998</v>
          </cell>
          <cell r="R21">
            <v>3.3780000000000001</v>
          </cell>
          <cell r="V21">
            <v>77.096098359202301</v>
          </cell>
          <cell r="X21">
            <v>49.052144460930286</v>
          </cell>
          <cell r="Y21">
            <v>245.91729138977902</v>
          </cell>
          <cell r="Z21">
            <v>164.37018309825925</v>
          </cell>
        </row>
        <row r="22">
          <cell r="B22">
            <v>1200</v>
          </cell>
          <cell r="L22">
            <v>1200</v>
          </cell>
          <cell r="P22">
            <v>579.99854999999991</v>
          </cell>
          <cell r="R22">
            <v>4.125</v>
          </cell>
          <cell r="V22">
            <v>82.669087217540408</v>
          </cell>
          <cell r="X22">
            <v>43.851406095126691</v>
          </cell>
          <cell r="Y22">
            <v>256.48465153224953</v>
          </cell>
          <cell r="Z22">
            <v>168.99017929105503</v>
          </cell>
        </row>
        <row r="23">
          <cell r="B23">
            <v>1100</v>
          </cell>
          <cell r="L23">
            <v>1100</v>
          </cell>
          <cell r="P23">
            <v>526.66534999999999</v>
          </cell>
          <cell r="R23">
            <v>4.3099999999999996</v>
          </cell>
          <cell r="V23">
            <v>86.945048772911932</v>
          </cell>
          <cell r="X23">
            <v>42.057330310907808</v>
          </cell>
          <cell r="Y23">
            <v>268.35402895371232</v>
          </cell>
          <cell r="Z23">
            <v>169.86990388729606</v>
          </cell>
        </row>
        <row r="24">
          <cell r="B24">
            <v>1000</v>
          </cell>
          <cell r="L24">
            <v>1000</v>
          </cell>
          <cell r="P24">
            <v>479.99879999999996</v>
          </cell>
          <cell r="R24">
            <v>5.1349999999999998</v>
          </cell>
          <cell r="V24">
            <v>91.638659601326012</v>
          </cell>
          <cell r="X24">
            <v>38.922531275313055</v>
          </cell>
          <cell r="Y24">
            <v>273.18709505220238</v>
          </cell>
          <cell r="Z24">
            <v>175.8726282162643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87"/>
  <sheetViews>
    <sheetView showGridLines="0" tabSelected="1" workbookViewId="0">
      <selection activeCell="X80" sqref="X80"/>
    </sheetView>
  </sheetViews>
  <sheetFormatPr defaultRowHeight="12.75" x14ac:dyDescent="0.2"/>
  <cols>
    <col min="1" max="1" width="3.140625" style="1" customWidth="1"/>
    <col min="2" max="3" width="9.140625" style="1"/>
    <col min="4" max="4" width="7.28515625" style="1" customWidth="1"/>
    <col min="5" max="5" width="7.140625" style="1" customWidth="1"/>
    <col min="6" max="6" width="12.140625" style="1" customWidth="1"/>
    <col min="7" max="7" width="10" style="1" customWidth="1"/>
    <col min="8" max="8" width="12.28515625" style="1" customWidth="1"/>
    <col min="9" max="9" width="7.42578125" style="1" customWidth="1"/>
    <col min="10" max="10" width="7.85546875" style="1" customWidth="1"/>
    <col min="11" max="11" width="8" style="1" customWidth="1"/>
    <col min="12" max="12" width="9.5703125" style="1" customWidth="1"/>
    <col min="13" max="13" width="11.42578125" style="1" customWidth="1"/>
    <col min="14" max="14" width="6.7109375" style="1" customWidth="1"/>
    <col min="15" max="15" width="7.5703125" style="1" customWidth="1"/>
    <col min="16" max="16" width="9.28515625" style="1" customWidth="1"/>
    <col min="17" max="17" width="6.7109375" style="1" customWidth="1"/>
    <col min="18" max="18" width="9.85546875" style="1" customWidth="1"/>
    <col min="19" max="19" width="7.7109375" style="1" customWidth="1"/>
    <col min="20" max="20" width="8.140625" style="1" customWidth="1"/>
    <col min="21" max="21" width="9.5703125" style="1" customWidth="1"/>
    <col min="22" max="22" width="8.5703125" style="1" customWidth="1"/>
    <col min="23" max="23" width="7.140625" style="1" customWidth="1"/>
    <col min="24" max="24" width="11" style="1" customWidth="1"/>
    <col min="25" max="25" width="12.28515625" style="1" customWidth="1"/>
    <col min="26" max="26" width="7.42578125" style="1" customWidth="1"/>
    <col min="27" max="28" width="7.5703125" style="1" customWidth="1"/>
    <col min="29" max="29" width="6.85546875" style="1" customWidth="1"/>
    <col min="30" max="30" width="6" style="1" customWidth="1"/>
    <col min="31" max="16384" width="9.140625" style="1"/>
  </cols>
  <sheetData>
    <row r="1" spans="2:31" x14ac:dyDescent="0.2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</row>
    <row r="2" spans="2:31" x14ac:dyDescent="0.2">
      <c r="B2" s="38"/>
      <c r="C2" s="39" t="s">
        <v>18</v>
      </c>
      <c r="D2" s="39"/>
      <c r="E2" s="39"/>
      <c r="F2" s="39"/>
      <c r="G2" s="39"/>
      <c r="H2" s="38"/>
      <c r="I2" s="40" t="s">
        <v>0</v>
      </c>
      <c r="J2" s="40"/>
      <c r="K2" s="40"/>
      <c r="L2" s="40"/>
      <c r="M2" s="40"/>
      <c r="N2" s="40"/>
      <c r="O2" s="40"/>
      <c r="P2" s="40"/>
      <c r="Q2" s="40"/>
      <c r="R2" s="40"/>
      <c r="S2" s="41" t="s">
        <v>1</v>
      </c>
      <c r="T2" s="41"/>
      <c r="U2" s="41"/>
      <c r="V2" s="41"/>
      <c r="W2" s="42"/>
      <c r="X2" s="42"/>
      <c r="Y2" s="43"/>
      <c r="Z2" s="43"/>
      <c r="AA2" s="43"/>
      <c r="AB2" s="43"/>
      <c r="AC2" s="43"/>
      <c r="AD2" s="43"/>
      <c r="AE2" s="38"/>
    </row>
    <row r="3" spans="2:31" x14ac:dyDescent="0.2">
      <c r="B3" s="38"/>
      <c r="C3" s="44" t="s">
        <v>2</v>
      </c>
      <c r="D3" s="45"/>
      <c r="E3" s="39"/>
      <c r="F3" s="39"/>
      <c r="G3" s="39"/>
      <c r="H3" s="38"/>
      <c r="I3" s="40"/>
      <c r="J3" s="40"/>
      <c r="K3" s="40"/>
      <c r="L3" s="40"/>
      <c r="M3" s="40"/>
      <c r="N3" s="40"/>
      <c r="O3" s="40"/>
      <c r="P3" s="40"/>
      <c r="Q3" s="40"/>
      <c r="R3" s="40"/>
      <c r="S3" s="46" t="s">
        <v>3</v>
      </c>
      <c r="T3" s="46"/>
      <c r="U3" s="46"/>
      <c r="V3" s="47"/>
      <c r="W3" s="47"/>
      <c r="X3" s="47"/>
      <c r="Y3" s="48"/>
      <c r="Z3" s="49"/>
      <c r="AA3" s="49"/>
      <c r="AB3" s="49"/>
      <c r="AC3" s="49"/>
      <c r="AD3" s="49"/>
      <c r="AE3" s="38"/>
    </row>
    <row r="4" spans="2:31" x14ac:dyDescent="0.2">
      <c r="B4" s="38"/>
      <c r="C4" s="44" t="s">
        <v>4</v>
      </c>
      <c r="D4" s="44"/>
      <c r="E4" s="38"/>
      <c r="F4" s="38"/>
      <c r="G4" s="38"/>
      <c r="H4" s="38"/>
      <c r="I4" s="38"/>
      <c r="J4" s="38"/>
      <c r="K4" s="38"/>
      <c r="L4" s="50"/>
      <c r="M4" s="50"/>
      <c r="N4" s="50"/>
      <c r="O4" s="50"/>
      <c r="P4" s="50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</row>
    <row r="5" spans="2:31" s="8" customFormat="1" ht="15" customHeight="1" x14ac:dyDescent="0.2">
      <c r="B5" s="51" t="s">
        <v>19</v>
      </c>
      <c r="C5" s="52"/>
      <c r="D5" s="53"/>
      <c r="E5" s="54" t="s">
        <v>28</v>
      </c>
      <c r="F5" s="54"/>
      <c r="G5" s="54"/>
      <c r="H5" s="55" t="s">
        <v>36</v>
      </c>
      <c r="I5" s="55"/>
      <c r="J5" s="56"/>
      <c r="K5" s="57" t="s">
        <v>32</v>
      </c>
      <c r="L5" s="58"/>
      <c r="M5" s="59" t="s">
        <v>54</v>
      </c>
      <c r="N5" s="60"/>
      <c r="O5" s="61"/>
      <c r="P5" s="57" t="s">
        <v>65</v>
      </c>
      <c r="Q5" s="62"/>
      <c r="R5" s="58"/>
      <c r="S5" s="51" t="s">
        <v>71</v>
      </c>
      <c r="T5" s="52"/>
      <c r="U5" s="53"/>
      <c r="V5" s="63">
        <v>3</v>
      </c>
      <c r="W5" s="63"/>
      <c r="X5" s="63"/>
      <c r="Y5" s="63"/>
      <c r="Z5" s="64"/>
      <c r="AA5" s="64"/>
      <c r="AB5" s="64"/>
      <c r="AC5" s="64"/>
      <c r="AD5" s="64"/>
      <c r="AE5" s="65"/>
    </row>
    <row r="6" spans="2:31" s="8" customFormat="1" ht="15" customHeight="1" x14ac:dyDescent="0.2">
      <c r="B6" s="66" t="s">
        <v>20</v>
      </c>
      <c r="C6" s="67"/>
      <c r="D6" s="68"/>
      <c r="E6" s="69" t="s">
        <v>29</v>
      </c>
      <c r="F6" s="69"/>
      <c r="G6" s="69"/>
      <c r="H6" s="66" t="s">
        <v>37</v>
      </c>
      <c r="I6" s="67"/>
      <c r="J6" s="70"/>
      <c r="K6" s="71" t="s">
        <v>48</v>
      </c>
      <c r="L6" s="72"/>
      <c r="M6" s="73" t="s">
        <v>55</v>
      </c>
      <c r="N6" s="74"/>
      <c r="O6" s="75"/>
      <c r="P6" s="71">
        <v>0.84350000000000003</v>
      </c>
      <c r="Q6" s="76"/>
      <c r="R6" s="72"/>
      <c r="S6" s="66" t="s">
        <v>72</v>
      </c>
      <c r="T6" s="67"/>
      <c r="U6" s="68"/>
      <c r="V6" s="77" t="s">
        <v>85</v>
      </c>
      <c r="W6" s="77"/>
      <c r="X6" s="77"/>
      <c r="Y6" s="77"/>
      <c r="Z6" s="64"/>
      <c r="AA6" s="64"/>
      <c r="AB6" s="64"/>
      <c r="AC6" s="64"/>
      <c r="AD6" s="64"/>
      <c r="AE6" s="65"/>
    </row>
    <row r="7" spans="2:31" s="8" customFormat="1" ht="15" customHeight="1" x14ac:dyDescent="0.2">
      <c r="B7" s="66" t="s">
        <v>21</v>
      </c>
      <c r="C7" s="67"/>
      <c r="D7" s="68"/>
      <c r="E7" s="69" t="s">
        <v>30</v>
      </c>
      <c r="F7" s="69"/>
      <c r="G7" s="69"/>
      <c r="H7" s="66" t="s">
        <v>38</v>
      </c>
      <c r="I7" s="67"/>
      <c r="J7" s="70"/>
      <c r="K7" s="78" t="s">
        <v>32</v>
      </c>
      <c r="L7" s="79"/>
      <c r="M7" s="73" t="s">
        <v>56</v>
      </c>
      <c r="N7" s="74"/>
      <c r="O7" s="75"/>
      <c r="P7" s="71" t="s">
        <v>66</v>
      </c>
      <c r="Q7" s="76"/>
      <c r="R7" s="72"/>
      <c r="S7" s="66" t="s">
        <v>73</v>
      </c>
      <c r="T7" s="67"/>
      <c r="U7" s="68"/>
      <c r="V7" s="77" t="s">
        <v>84</v>
      </c>
      <c r="W7" s="77"/>
      <c r="X7" s="77"/>
      <c r="Y7" s="77"/>
      <c r="Z7" s="64"/>
      <c r="AA7" s="64"/>
      <c r="AB7" s="64"/>
      <c r="AC7" s="64"/>
      <c r="AD7" s="64"/>
      <c r="AE7" s="65"/>
    </row>
    <row r="8" spans="2:31" s="8" customFormat="1" ht="15" customHeight="1" x14ac:dyDescent="0.2">
      <c r="B8" s="66" t="s">
        <v>22</v>
      </c>
      <c r="C8" s="67"/>
      <c r="D8" s="68"/>
      <c r="E8" s="80" t="s">
        <v>31</v>
      </c>
      <c r="F8" s="81"/>
      <c r="G8" s="82"/>
      <c r="H8" s="83" t="s">
        <v>39</v>
      </c>
      <c r="I8" s="84"/>
      <c r="J8" s="85"/>
      <c r="K8" s="78" t="s">
        <v>49</v>
      </c>
      <c r="L8" s="79"/>
      <c r="M8" s="73" t="s">
        <v>57</v>
      </c>
      <c r="N8" s="74"/>
      <c r="O8" s="75"/>
      <c r="P8" s="71" t="s">
        <v>67</v>
      </c>
      <c r="Q8" s="76"/>
      <c r="R8" s="72"/>
      <c r="S8" s="66" t="s">
        <v>74</v>
      </c>
      <c r="T8" s="67"/>
      <c r="U8" s="68"/>
      <c r="V8" s="86" t="s">
        <v>5</v>
      </c>
      <c r="W8" s="87"/>
      <c r="X8" s="87"/>
      <c r="Y8" s="88"/>
      <c r="Z8" s="64"/>
      <c r="AA8" s="64"/>
      <c r="AB8" s="64"/>
      <c r="AC8" s="64"/>
      <c r="AD8" s="64"/>
      <c r="AE8" s="65"/>
    </row>
    <row r="9" spans="2:31" s="8" customFormat="1" ht="15" customHeight="1" x14ac:dyDescent="0.2">
      <c r="B9" s="66" t="s">
        <v>23</v>
      </c>
      <c r="C9" s="67"/>
      <c r="D9" s="68"/>
      <c r="E9" s="71" t="s">
        <v>32</v>
      </c>
      <c r="F9" s="76"/>
      <c r="G9" s="72"/>
      <c r="H9" s="66" t="s">
        <v>40</v>
      </c>
      <c r="I9" s="67"/>
      <c r="J9" s="68"/>
      <c r="K9" s="78" t="s">
        <v>50</v>
      </c>
      <c r="L9" s="79"/>
      <c r="M9" s="73" t="s">
        <v>58</v>
      </c>
      <c r="N9" s="74"/>
      <c r="O9" s="75"/>
      <c r="P9" s="71" t="s">
        <v>68</v>
      </c>
      <c r="Q9" s="76"/>
      <c r="R9" s="72"/>
      <c r="S9" s="66" t="s">
        <v>75</v>
      </c>
      <c r="T9" s="67"/>
      <c r="U9" s="68"/>
      <c r="V9" s="89" t="s">
        <v>6</v>
      </c>
      <c r="W9" s="90"/>
      <c r="X9" s="90"/>
      <c r="Y9" s="91"/>
      <c r="Z9" s="64"/>
      <c r="AA9" s="64"/>
      <c r="AB9" s="64"/>
      <c r="AC9" s="64"/>
      <c r="AD9" s="64"/>
      <c r="AE9" s="65"/>
    </row>
    <row r="10" spans="2:31" s="8" customFormat="1" ht="15" customHeight="1" x14ac:dyDescent="0.2">
      <c r="B10" s="66" t="s">
        <v>24</v>
      </c>
      <c r="C10" s="67"/>
      <c r="D10" s="68"/>
      <c r="E10" s="71">
        <v>2</v>
      </c>
      <c r="F10" s="76"/>
      <c r="G10" s="72"/>
      <c r="H10" s="66" t="s">
        <v>41</v>
      </c>
      <c r="I10" s="67"/>
      <c r="J10" s="68"/>
      <c r="K10" s="78" t="s">
        <v>51</v>
      </c>
      <c r="L10" s="79"/>
      <c r="M10" s="73" t="s">
        <v>59</v>
      </c>
      <c r="N10" s="74"/>
      <c r="O10" s="75"/>
      <c r="P10" s="71">
        <v>603129021407</v>
      </c>
      <c r="Q10" s="76"/>
      <c r="R10" s="72"/>
      <c r="S10" s="66" t="s">
        <v>76</v>
      </c>
      <c r="T10" s="67"/>
      <c r="U10" s="68"/>
      <c r="V10" s="89" t="s">
        <v>5</v>
      </c>
      <c r="W10" s="90"/>
      <c r="X10" s="90"/>
      <c r="Y10" s="91"/>
      <c r="Z10" s="64"/>
      <c r="AA10" s="64"/>
      <c r="AB10" s="64"/>
      <c r="AC10" s="64"/>
      <c r="AD10" s="64"/>
      <c r="AE10" s="65"/>
    </row>
    <row r="11" spans="2:31" s="8" customFormat="1" ht="15" customHeight="1" x14ac:dyDescent="0.2">
      <c r="B11" s="66" t="s">
        <v>33</v>
      </c>
      <c r="C11" s="67"/>
      <c r="D11" s="68"/>
      <c r="E11" s="71" t="s">
        <v>42</v>
      </c>
      <c r="F11" s="76"/>
      <c r="G11" s="72"/>
      <c r="H11" s="66" t="s">
        <v>43</v>
      </c>
      <c r="I11" s="67"/>
      <c r="J11" s="68"/>
      <c r="K11" s="78" t="s">
        <v>32</v>
      </c>
      <c r="L11" s="79"/>
      <c r="M11" s="73" t="s">
        <v>60</v>
      </c>
      <c r="N11" s="74"/>
      <c r="O11" s="75"/>
      <c r="P11" s="71" t="s">
        <v>69</v>
      </c>
      <c r="Q11" s="76"/>
      <c r="R11" s="72"/>
      <c r="S11" s="66" t="s">
        <v>77</v>
      </c>
      <c r="T11" s="67"/>
      <c r="U11" s="68"/>
      <c r="V11" s="89" t="s">
        <v>5</v>
      </c>
      <c r="W11" s="90"/>
      <c r="X11" s="90"/>
      <c r="Y11" s="91"/>
      <c r="Z11" s="64"/>
      <c r="AA11" s="64"/>
      <c r="AB11" s="64"/>
      <c r="AC11" s="64"/>
      <c r="AD11" s="64"/>
      <c r="AE11" s="65"/>
    </row>
    <row r="12" spans="2:31" s="8" customFormat="1" ht="15" customHeight="1" x14ac:dyDescent="0.2">
      <c r="B12" s="92" t="s">
        <v>25</v>
      </c>
      <c r="C12" s="92"/>
      <c r="D12" s="92"/>
      <c r="E12" s="69">
        <v>83</v>
      </c>
      <c r="F12" s="69"/>
      <c r="G12" s="69"/>
      <c r="H12" s="66" t="s">
        <v>44</v>
      </c>
      <c r="I12" s="67"/>
      <c r="J12" s="68"/>
      <c r="K12" s="78" t="s">
        <v>52</v>
      </c>
      <c r="L12" s="79"/>
      <c r="M12" s="73" t="s">
        <v>61</v>
      </c>
      <c r="N12" s="74"/>
      <c r="O12" s="75"/>
      <c r="P12" s="71" t="s">
        <v>6</v>
      </c>
      <c r="Q12" s="76"/>
      <c r="R12" s="72"/>
      <c r="S12" s="66" t="s">
        <v>78</v>
      </c>
      <c r="T12" s="67"/>
      <c r="U12" s="68"/>
      <c r="V12" s="77" t="s">
        <v>83</v>
      </c>
      <c r="W12" s="77"/>
      <c r="X12" s="77"/>
      <c r="Y12" s="77"/>
      <c r="Z12" s="64"/>
      <c r="AA12" s="64"/>
      <c r="AB12" s="64"/>
      <c r="AC12" s="64"/>
      <c r="AD12" s="64"/>
      <c r="AE12" s="65"/>
    </row>
    <row r="13" spans="2:31" s="8" customFormat="1" ht="15" customHeight="1" x14ac:dyDescent="0.2">
      <c r="B13" s="66" t="s">
        <v>26</v>
      </c>
      <c r="C13" s="67"/>
      <c r="D13" s="68"/>
      <c r="E13" s="71">
        <v>84</v>
      </c>
      <c r="F13" s="76"/>
      <c r="G13" s="72"/>
      <c r="H13" s="66" t="s">
        <v>45</v>
      </c>
      <c r="I13" s="67"/>
      <c r="J13" s="68"/>
      <c r="K13" s="78" t="s">
        <v>32</v>
      </c>
      <c r="L13" s="79"/>
      <c r="M13" s="73" t="s">
        <v>62</v>
      </c>
      <c r="N13" s="74"/>
      <c r="O13" s="75"/>
      <c r="P13" s="71" t="s">
        <v>6</v>
      </c>
      <c r="Q13" s="76"/>
      <c r="R13" s="72"/>
      <c r="S13" s="66" t="s">
        <v>79</v>
      </c>
      <c r="T13" s="67"/>
      <c r="U13" s="68"/>
      <c r="V13" s="93" t="s">
        <v>82</v>
      </c>
      <c r="W13" s="94"/>
      <c r="X13" s="94"/>
      <c r="Y13" s="95"/>
      <c r="Z13" s="64"/>
      <c r="AA13" s="64"/>
      <c r="AB13" s="64"/>
      <c r="AC13" s="64"/>
      <c r="AD13" s="64"/>
      <c r="AE13" s="65"/>
    </row>
    <row r="14" spans="2:31" s="8" customFormat="1" ht="15" customHeight="1" x14ac:dyDescent="0.2">
      <c r="B14" s="66" t="s">
        <v>34</v>
      </c>
      <c r="C14" s="67"/>
      <c r="D14" s="68"/>
      <c r="E14" s="71" t="s">
        <v>35</v>
      </c>
      <c r="F14" s="76"/>
      <c r="G14" s="72"/>
      <c r="H14" s="66" t="s">
        <v>46</v>
      </c>
      <c r="I14" s="67"/>
      <c r="J14" s="68"/>
      <c r="K14" s="78" t="s">
        <v>32</v>
      </c>
      <c r="L14" s="79"/>
      <c r="M14" s="73" t="s">
        <v>63</v>
      </c>
      <c r="N14" s="74"/>
      <c r="O14" s="75"/>
      <c r="P14" s="71" t="s">
        <v>70</v>
      </c>
      <c r="Q14" s="76"/>
      <c r="R14" s="72"/>
      <c r="S14" s="66" t="s">
        <v>80</v>
      </c>
      <c r="T14" s="67"/>
      <c r="U14" s="68"/>
      <c r="V14" s="89" t="s">
        <v>81</v>
      </c>
      <c r="W14" s="90"/>
      <c r="X14" s="90"/>
      <c r="Y14" s="91"/>
      <c r="Z14" s="64"/>
      <c r="AA14" s="64"/>
      <c r="AB14" s="64"/>
      <c r="AC14" s="64"/>
      <c r="AD14" s="64"/>
      <c r="AE14" s="65"/>
    </row>
    <row r="15" spans="2:31" s="8" customFormat="1" ht="33" customHeight="1" x14ac:dyDescent="0.2">
      <c r="B15" s="96" t="s">
        <v>27</v>
      </c>
      <c r="C15" s="96"/>
      <c r="D15" s="96"/>
      <c r="E15" s="97">
        <v>30.9</v>
      </c>
      <c r="F15" s="97"/>
      <c r="G15" s="97"/>
      <c r="H15" s="98" t="s">
        <v>47</v>
      </c>
      <c r="I15" s="99"/>
      <c r="J15" s="100"/>
      <c r="K15" s="101" t="s">
        <v>53</v>
      </c>
      <c r="L15" s="102"/>
      <c r="M15" s="103" t="s">
        <v>64</v>
      </c>
      <c r="N15" s="104"/>
      <c r="O15" s="105"/>
      <c r="P15" s="106"/>
      <c r="Q15" s="107"/>
      <c r="R15" s="107"/>
      <c r="S15" s="107"/>
      <c r="T15" s="107"/>
      <c r="U15" s="107"/>
      <c r="V15" s="107"/>
      <c r="W15" s="107"/>
      <c r="X15" s="107"/>
      <c r="Y15" s="108"/>
      <c r="Z15" s="64"/>
      <c r="AA15" s="64"/>
      <c r="AB15" s="64"/>
      <c r="AC15" s="64"/>
      <c r="AD15" s="64"/>
      <c r="AE15" s="65"/>
    </row>
    <row r="16" spans="2:31" s="8" customFormat="1" ht="7.5" customHeight="1" thickBot="1" x14ac:dyDescent="0.25">
      <c r="B16" s="109"/>
      <c r="C16" s="109"/>
      <c r="D16" s="109"/>
      <c r="E16" s="110"/>
      <c r="F16" s="110"/>
      <c r="G16" s="110"/>
      <c r="H16" s="109"/>
      <c r="I16" s="109"/>
      <c r="J16" s="109"/>
      <c r="K16" s="111"/>
      <c r="L16" s="111"/>
      <c r="M16" s="112"/>
      <c r="N16" s="112"/>
      <c r="O16" s="112"/>
      <c r="P16" s="110"/>
      <c r="Q16" s="113"/>
      <c r="R16" s="113"/>
      <c r="S16" s="113"/>
      <c r="T16" s="113"/>
      <c r="U16" s="113"/>
      <c r="V16" s="113"/>
      <c r="W16" s="113"/>
      <c r="X16" s="113"/>
      <c r="Y16" s="113"/>
      <c r="Z16" s="64"/>
      <c r="AA16" s="64"/>
      <c r="AB16" s="64"/>
      <c r="AC16" s="64"/>
      <c r="AD16" s="64"/>
      <c r="AE16" s="65"/>
    </row>
    <row r="17" spans="1:31" s="8" customFormat="1" ht="16.5" customHeight="1" x14ac:dyDescent="0.2">
      <c r="B17" s="25" t="s">
        <v>11</v>
      </c>
      <c r="C17" s="27" t="s">
        <v>86</v>
      </c>
      <c r="D17" s="114" t="s">
        <v>87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6"/>
      <c r="Q17" s="117" t="s">
        <v>88</v>
      </c>
      <c r="R17" s="117"/>
      <c r="S17" s="117"/>
      <c r="T17" s="117"/>
      <c r="U17" s="117"/>
      <c r="V17" s="117"/>
      <c r="W17" s="118"/>
      <c r="X17" s="23" t="s">
        <v>109</v>
      </c>
      <c r="Y17" s="23" t="s">
        <v>109</v>
      </c>
      <c r="Z17" s="11"/>
      <c r="AA17" s="6"/>
      <c r="AB17" s="6"/>
      <c r="AC17" s="6"/>
      <c r="AD17" s="6"/>
      <c r="AE17" s="7"/>
    </row>
    <row r="18" spans="1:31" s="8" customFormat="1" ht="29.25" customHeight="1" x14ac:dyDescent="0.2">
      <c r="B18" s="26"/>
      <c r="C18" s="28"/>
      <c r="D18" s="17" t="s">
        <v>89</v>
      </c>
      <c r="E18" s="20" t="s">
        <v>90</v>
      </c>
      <c r="F18" s="18" t="s">
        <v>91</v>
      </c>
      <c r="G18" s="17" t="s">
        <v>92</v>
      </c>
      <c r="H18" s="20" t="s">
        <v>93</v>
      </c>
      <c r="I18" s="21" t="s">
        <v>94</v>
      </c>
      <c r="J18" s="17" t="s">
        <v>95</v>
      </c>
      <c r="K18" s="20" t="s">
        <v>96</v>
      </c>
      <c r="L18" s="21" t="s">
        <v>97</v>
      </c>
      <c r="M18" s="17" t="s">
        <v>98</v>
      </c>
      <c r="N18" s="20" t="s">
        <v>99</v>
      </c>
      <c r="O18" s="21" t="s">
        <v>100</v>
      </c>
      <c r="P18" s="20" t="s">
        <v>101</v>
      </c>
      <c r="Q18" s="21" t="s">
        <v>102</v>
      </c>
      <c r="R18" s="17" t="s">
        <v>103</v>
      </c>
      <c r="S18" s="20" t="s">
        <v>104</v>
      </c>
      <c r="T18" s="21" t="s">
        <v>105</v>
      </c>
      <c r="U18" s="17" t="s">
        <v>106</v>
      </c>
      <c r="V18" s="20" t="s">
        <v>107</v>
      </c>
      <c r="W18" s="21" t="s">
        <v>108</v>
      </c>
      <c r="X18" s="24"/>
      <c r="Y18" s="24"/>
      <c r="Z18" s="11"/>
      <c r="AA18" s="6"/>
      <c r="AB18" s="6"/>
      <c r="AC18" s="6"/>
      <c r="AD18" s="6"/>
      <c r="AE18" s="7"/>
    </row>
    <row r="19" spans="1:31" s="8" customFormat="1" ht="18.75" customHeight="1" thickBot="1" x14ac:dyDescent="0.25">
      <c r="B19" s="15" t="s">
        <v>14</v>
      </c>
      <c r="C19" s="16" t="s">
        <v>7</v>
      </c>
      <c r="D19" s="15" t="s">
        <v>8</v>
      </c>
      <c r="E19" s="16" t="s">
        <v>8</v>
      </c>
      <c r="F19" s="19" t="s">
        <v>8</v>
      </c>
      <c r="G19" s="15" t="s">
        <v>8</v>
      </c>
      <c r="H19" s="16" t="s">
        <v>8</v>
      </c>
      <c r="I19" s="19" t="s">
        <v>8</v>
      </c>
      <c r="J19" s="15" t="s">
        <v>8</v>
      </c>
      <c r="K19" s="16" t="s">
        <v>8</v>
      </c>
      <c r="L19" s="19" t="s">
        <v>8</v>
      </c>
      <c r="M19" s="15" t="s">
        <v>8</v>
      </c>
      <c r="N19" s="16" t="s">
        <v>8</v>
      </c>
      <c r="O19" s="19" t="s">
        <v>8</v>
      </c>
      <c r="P19" s="13" t="s">
        <v>8</v>
      </c>
      <c r="Q19" s="19" t="s">
        <v>9</v>
      </c>
      <c r="R19" s="15" t="s">
        <v>9</v>
      </c>
      <c r="S19" s="16" t="s">
        <v>9</v>
      </c>
      <c r="T19" s="19" t="s">
        <v>9</v>
      </c>
      <c r="U19" s="15" t="s">
        <v>9</v>
      </c>
      <c r="V19" s="16" t="s">
        <v>9</v>
      </c>
      <c r="W19" s="19" t="s">
        <v>9</v>
      </c>
      <c r="X19" s="22" t="s">
        <v>110</v>
      </c>
      <c r="Y19" s="119" t="s">
        <v>119</v>
      </c>
      <c r="Z19" s="12"/>
      <c r="AA19" s="10"/>
      <c r="AB19" s="10"/>
      <c r="AC19" s="10"/>
      <c r="AD19" s="10"/>
      <c r="AE19" s="7"/>
    </row>
    <row r="20" spans="1:31" s="8" customFormat="1" ht="15.95" customHeight="1" x14ac:dyDescent="0.2">
      <c r="B20" s="29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1"/>
      <c r="Q20" s="30"/>
      <c r="R20" s="30"/>
      <c r="S20" s="30"/>
      <c r="T20" s="30"/>
      <c r="U20" s="30"/>
      <c r="V20" s="30"/>
      <c r="W20" s="30"/>
      <c r="X20" s="30"/>
      <c r="Y20" s="36" t="e">
        <f>X20/60*1000000/(B20/2)/4</f>
        <v>#DIV/0!</v>
      </c>
      <c r="Z20" s="10"/>
      <c r="AA20" s="10"/>
      <c r="AB20" s="10"/>
      <c r="AC20" s="10"/>
      <c r="AD20" s="10"/>
      <c r="AE20" s="7"/>
    </row>
    <row r="21" spans="1:31" ht="15.95" customHeight="1" x14ac:dyDescent="0.2">
      <c r="A21" s="14"/>
      <c r="B21" s="32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6" t="e">
        <f t="shared" ref="Y21:Y40" si="0">X21/60*1000000/(B21/2)/4</f>
        <v>#DIV/0!</v>
      </c>
      <c r="Z21" s="9"/>
      <c r="AA21" s="9"/>
      <c r="AB21" s="9"/>
      <c r="AC21" s="9"/>
      <c r="AD21" s="9"/>
      <c r="AE21" s="2"/>
    </row>
    <row r="22" spans="1:31" ht="15.95" customHeight="1" x14ac:dyDescent="0.2">
      <c r="A22" s="14"/>
      <c r="B22" s="32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6" t="e">
        <f t="shared" si="0"/>
        <v>#DIV/0!</v>
      </c>
      <c r="Z22" s="9"/>
      <c r="AA22" s="9"/>
      <c r="AB22" s="9"/>
      <c r="AC22" s="9"/>
      <c r="AD22" s="9"/>
      <c r="AE22" s="2"/>
    </row>
    <row r="23" spans="1:31" ht="15.95" customHeight="1" x14ac:dyDescent="0.2">
      <c r="A23" s="14"/>
      <c r="B23" s="32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6" t="e">
        <f t="shared" si="0"/>
        <v>#DIV/0!</v>
      </c>
      <c r="Z23" s="9"/>
      <c r="AA23" s="9"/>
      <c r="AB23" s="9"/>
      <c r="AC23" s="9"/>
      <c r="AD23" s="9"/>
      <c r="AE23" s="2"/>
    </row>
    <row r="24" spans="1:31" ht="15.95" customHeight="1" x14ac:dyDescent="0.2">
      <c r="A24" s="14"/>
      <c r="B24" s="32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6" t="e">
        <f t="shared" si="0"/>
        <v>#DIV/0!</v>
      </c>
      <c r="Z24" s="9"/>
      <c r="AA24" s="9"/>
      <c r="AB24" s="9"/>
      <c r="AC24" s="9"/>
      <c r="AD24" s="9"/>
      <c r="AE24" s="2"/>
    </row>
    <row r="25" spans="1:31" ht="15.95" customHeight="1" x14ac:dyDescent="0.2">
      <c r="A25" s="14"/>
      <c r="B25" s="32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6" t="e">
        <f t="shared" si="0"/>
        <v>#DIV/0!</v>
      </c>
      <c r="Z25" s="9"/>
      <c r="AA25" s="9"/>
      <c r="AB25" s="9"/>
      <c r="AC25" s="9"/>
      <c r="AD25" s="9"/>
      <c r="AE25" s="2"/>
    </row>
    <row r="26" spans="1:31" ht="15.95" customHeight="1" x14ac:dyDescent="0.2">
      <c r="A26" s="14"/>
      <c r="B26" s="32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6" t="e">
        <f t="shared" si="0"/>
        <v>#DIV/0!</v>
      </c>
      <c r="Z26" s="9"/>
      <c r="AA26" s="9"/>
      <c r="AB26" s="9"/>
      <c r="AC26" s="9"/>
      <c r="AD26" s="9"/>
      <c r="AE26" s="2"/>
    </row>
    <row r="27" spans="1:31" ht="15.95" customHeight="1" x14ac:dyDescent="0.2">
      <c r="A27" s="14"/>
      <c r="B27" s="32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6" t="e">
        <f t="shared" si="0"/>
        <v>#DIV/0!</v>
      </c>
      <c r="Z27" s="9"/>
      <c r="AA27" s="9"/>
      <c r="AB27" s="9"/>
      <c r="AC27" s="9"/>
      <c r="AD27" s="9"/>
      <c r="AE27" s="2"/>
    </row>
    <row r="28" spans="1:31" ht="15.95" customHeight="1" x14ac:dyDescent="0.2">
      <c r="A28" s="14"/>
      <c r="B28" s="32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6" t="e">
        <f t="shared" si="0"/>
        <v>#DIV/0!</v>
      </c>
      <c r="Z28" s="9"/>
      <c r="AA28" s="9"/>
      <c r="AB28" s="9"/>
      <c r="AC28" s="9"/>
      <c r="AD28" s="9"/>
      <c r="AE28" s="2"/>
    </row>
    <row r="29" spans="1:31" ht="15.95" customHeight="1" x14ac:dyDescent="0.2">
      <c r="A29" s="14"/>
      <c r="B29" s="32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6" t="e">
        <f t="shared" si="0"/>
        <v>#DIV/0!</v>
      </c>
      <c r="Z29" s="9"/>
      <c r="AA29" s="9"/>
      <c r="AB29" s="9"/>
      <c r="AC29" s="9"/>
      <c r="AD29" s="9"/>
      <c r="AE29" s="2"/>
    </row>
    <row r="30" spans="1:31" ht="15.95" customHeight="1" x14ac:dyDescent="0.2">
      <c r="A30" s="14"/>
      <c r="B30" s="32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6" t="e">
        <f t="shared" si="0"/>
        <v>#DIV/0!</v>
      </c>
      <c r="Z30" s="9"/>
      <c r="AA30" s="9"/>
      <c r="AB30" s="9"/>
      <c r="AC30" s="9"/>
      <c r="AD30" s="9"/>
      <c r="AE30" s="2"/>
    </row>
    <row r="31" spans="1:31" ht="15.95" customHeight="1" x14ac:dyDescent="0.2">
      <c r="A31" s="14"/>
      <c r="B31" s="32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6" t="e">
        <f t="shared" si="0"/>
        <v>#DIV/0!</v>
      </c>
      <c r="Z31" s="9"/>
      <c r="AA31" s="9"/>
      <c r="AB31" s="9"/>
      <c r="AC31" s="9"/>
      <c r="AD31" s="9"/>
      <c r="AE31" s="2"/>
    </row>
    <row r="32" spans="1:31" ht="15.95" customHeight="1" x14ac:dyDescent="0.2">
      <c r="A32" s="14"/>
      <c r="B32" s="32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6" t="e">
        <f t="shared" si="0"/>
        <v>#DIV/0!</v>
      </c>
      <c r="Z32" s="9"/>
      <c r="AA32" s="9"/>
      <c r="AB32" s="9"/>
      <c r="AC32" s="9"/>
      <c r="AD32" s="9"/>
      <c r="AE32" s="2"/>
    </row>
    <row r="33" spans="1:31" ht="15.95" customHeight="1" x14ac:dyDescent="0.2">
      <c r="A33" s="14"/>
      <c r="B33" s="32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6" t="e">
        <f t="shared" si="0"/>
        <v>#DIV/0!</v>
      </c>
      <c r="Z33" s="9"/>
      <c r="AA33" s="9"/>
      <c r="AB33" s="9"/>
      <c r="AC33" s="9"/>
      <c r="AD33" s="9"/>
      <c r="AE33" s="2"/>
    </row>
    <row r="34" spans="1:31" ht="15.95" customHeight="1" x14ac:dyDescent="0.2">
      <c r="A34" s="14"/>
      <c r="B34" s="32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6" t="e">
        <f t="shared" si="0"/>
        <v>#DIV/0!</v>
      </c>
      <c r="Z34" s="9"/>
      <c r="AA34" s="9"/>
      <c r="AB34" s="9"/>
      <c r="AC34" s="9"/>
      <c r="AD34" s="9"/>
      <c r="AE34" s="2"/>
    </row>
    <row r="35" spans="1:31" ht="15.95" customHeight="1" x14ac:dyDescent="0.2">
      <c r="A35" s="14"/>
      <c r="B35" s="32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6" t="e">
        <f t="shared" si="0"/>
        <v>#DIV/0!</v>
      </c>
      <c r="Z35" s="9"/>
      <c r="AA35" s="9"/>
      <c r="AB35" s="9"/>
      <c r="AC35" s="9"/>
      <c r="AD35" s="9"/>
      <c r="AE35" s="2"/>
    </row>
    <row r="36" spans="1:31" ht="15.95" customHeight="1" x14ac:dyDescent="0.2">
      <c r="A36" s="14"/>
      <c r="B36" s="32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6" t="e">
        <f t="shared" si="0"/>
        <v>#DIV/0!</v>
      </c>
      <c r="Z36" s="9"/>
      <c r="AA36" s="9"/>
      <c r="AB36" s="9"/>
      <c r="AC36" s="9"/>
      <c r="AD36" s="9"/>
      <c r="AE36" s="2"/>
    </row>
    <row r="37" spans="1:31" ht="15.95" customHeight="1" x14ac:dyDescent="0.2">
      <c r="A37" s="14"/>
      <c r="B37" s="32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6" t="e">
        <f t="shared" si="0"/>
        <v>#DIV/0!</v>
      </c>
      <c r="Z37" s="9"/>
      <c r="AA37" s="9"/>
      <c r="AB37" s="9"/>
      <c r="AC37" s="9"/>
      <c r="AD37" s="9"/>
      <c r="AE37" s="2"/>
    </row>
    <row r="38" spans="1:31" ht="15.95" customHeight="1" x14ac:dyDescent="0.2">
      <c r="A38" s="14"/>
      <c r="B38" s="32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6" t="e">
        <f t="shared" si="0"/>
        <v>#DIV/0!</v>
      </c>
      <c r="Z38" s="9"/>
      <c r="AA38" s="9"/>
      <c r="AB38" s="9"/>
      <c r="AC38" s="9"/>
      <c r="AD38" s="9"/>
      <c r="AE38" s="2"/>
    </row>
    <row r="39" spans="1:31" ht="15.95" customHeight="1" x14ac:dyDescent="0.2">
      <c r="A39" s="14"/>
      <c r="B39" s="32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6" t="e">
        <f t="shared" si="0"/>
        <v>#DIV/0!</v>
      </c>
      <c r="Z39" s="9"/>
      <c r="AA39" s="9"/>
      <c r="AB39" s="9"/>
      <c r="AC39" s="9"/>
      <c r="AD39" s="9"/>
      <c r="AE39" s="2"/>
    </row>
    <row r="40" spans="1:31" ht="15.95" customHeight="1" x14ac:dyDescent="0.2">
      <c r="A40" s="14"/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6" t="e">
        <f t="shared" si="0"/>
        <v>#DIV/0!</v>
      </c>
      <c r="Z40" s="9"/>
      <c r="AA40" s="9"/>
      <c r="AB40" s="9"/>
      <c r="AC40" s="9"/>
      <c r="AD40" s="9"/>
      <c r="AE40" s="2"/>
    </row>
    <row r="41" spans="1:31" ht="15" customHeight="1" x14ac:dyDescent="0.2">
      <c r="A41" s="14"/>
      <c r="B41" s="2"/>
      <c r="C41" s="120"/>
      <c r="D41" s="120"/>
      <c r="E41" s="121"/>
      <c r="F41" s="121"/>
      <c r="G41" s="121"/>
      <c r="H41" s="121"/>
      <c r="I41" s="121"/>
      <c r="J41" s="120"/>
      <c r="K41" s="120"/>
      <c r="L41" s="120"/>
      <c r="M41" s="120"/>
      <c r="N41" s="120"/>
      <c r="O41" s="120"/>
      <c r="P41" s="122"/>
      <c r="Q41" s="9"/>
      <c r="R41" s="9"/>
      <c r="S41" s="9"/>
      <c r="T41" s="9"/>
      <c r="U41" s="9"/>
      <c r="V41" s="123"/>
      <c r="W41" s="123"/>
      <c r="X41" s="123"/>
      <c r="Y41" s="9"/>
      <c r="Z41" s="9"/>
      <c r="AA41" s="9"/>
      <c r="AB41" s="9"/>
      <c r="AC41" s="9"/>
      <c r="AD41" s="9"/>
      <c r="AE41" s="2"/>
    </row>
    <row r="42" spans="1:31" ht="15" customHeight="1" x14ac:dyDescent="0.2">
      <c r="A42" s="14"/>
      <c r="B42" s="124" t="s">
        <v>11</v>
      </c>
      <c r="C42" s="124" t="s">
        <v>120</v>
      </c>
      <c r="D42" s="125" t="s">
        <v>111</v>
      </c>
      <c r="E42" s="126"/>
      <c r="F42" s="124" t="s">
        <v>114</v>
      </c>
      <c r="G42" s="124" t="s">
        <v>118</v>
      </c>
      <c r="H42" s="125" t="s">
        <v>112</v>
      </c>
      <c r="I42" s="126"/>
      <c r="J42" s="124" t="s">
        <v>13</v>
      </c>
      <c r="K42" s="124" t="s">
        <v>121</v>
      </c>
      <c r="L42" s="124" t="s">
        <v>116</v>
      </c>
      <c r="M42" s="124" t="s">
        <v>122</v>
      </c>
      <c r="N42" s="124" t="s">
        <v>123</v>
      </c>
      <c r="O42" s="124" t="s">
        <v>124</v>
      </c>
      <c r="P42" s="124" t="s">
        <v>117</v>
      </c>
      <c r="Q42" s="124" t="s">
        <v>103</v>
      </c>
      <c r="R42" s="124" t="s">
        <v>125</v>
      </c>
      <c r="S42" s="124" t="s">
        <v>104</v>
      </c>
      <c r="T42" s="124" t="s">
        <v>126</v>
      </c>
      <c r="U42" s="124" t="s">
        <v>127</v>
      </c>
      <c r="V42" s="124" t="s">
        <v>106</v>
      </c>
      <c r="W42" s="124" t="s">
        <v>107</v>
      </c>
      <c r="X42" s="124" t="s">
        <v>128</v>
      </c>
      <c r="Y42" s="124" t="s">
        <v>129</v>
      </c>
      <c r="Z42" s="124" t="s">
        <v>130</v>
      </c>
      <c r="AA42" s="124" t="s">
        <v>131</v>
      </c>
      <c r="AB42" s="124" t="s">
        <v>132</v>
      </c>
      <c r="AC42" s="124" t="s">
        <v>133</v>
      </c>
      <c r="AD42" s="124" t="s">
        <v>134</v>
      </c>
      <c r="AE42" s="124" t="s">
        <v>135</v>
      </c>
    </row>
    <row r="43" spans="1:31" ht="15" customHeight="1" x14ac:dyDescent="0.2">
      <c r="A43" s="14"/>
      <c r="B43" s="124"/>
      <c r="C43" s="124"/>
      <c r="D43" s="20" t="s">
        <v>113</v>
      </c>
      <c r="E43" s="20" t="s">
        <v>12</v>
      </c>
      <c r="F43" s="124"/>
      <c r="G43" s="124"/>
      <c r="H43" s="20" t="s">
        <v>113</v>
      </c>
      <c r="I43" s="20" t="s">
        <v>12</v>
      </c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</row>
    <row r="44" spans="1:31" x14ac:dyDescent="0.2">
      <c r="B44" s="127" t="s">
        <v>14</v>
      </c>
      <c r="C44" s="127" t="s">
        <v>7</v>
      </c>
      <c r="D44" s="127" t="s">
        <v>15</v>
      </c>
      <c r="E44" s="127" t="s">
        <v>136</v>
      </c>
      <c r="F44" s="128" t="s">
        <v>137</v>
      </c>
      <c r="G44" s="27"/>
      <c r="H44" s="127" t="s">
        <v>15</v>
      </c>
      <c r="I44" s="127" t="s">
        <v>136</v>
      </c>
      <c r="J44" s="127" t="s">
        <v>115</v>
      </c>
      <c r="K44" s="127" t="s">
        <v>10</v>
      </c>
      <c r="L44" s="127" t="s">
        <v>14</v>
      </c>
      <c r="M44" s="127" t="s">
        <v>110</v>
      </c>
      <c r="N44" s="127" t="s">
        <v>9</v>
      </c>
      <c r="O44" s="127"/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7"/>
      <c r="AB44" s="127"/>
      <c r="AC44" s="127"/>
      <c r="AD44" s="127"/>
      <c r="AE44" s="127"/>
    </row>
    <row r="45" spans="1:31" s="8" customFormat="1" ht="15.95" customHeight="1" x14ac:dyDescent="0.2">
      <c r="B45" s="37"/>
      <c r="C45" s="31"/>
      <c r="D45" s="31"/>
      <c r="E45" s="31"/>
      <c r="F45" s="31"/>
      <c r="G45" s="31"/>
      <c r="H45" s="36">
        <f>D45*G45</f>
        <v>0</v>
      </c>
      <c r="I45" s="36" t="e">
        <f>E45/G45</f>
        <v>#DIV/0!</v>
      </c>
      <c r="J45" s="31"/>
      <c r="K45" s="31"/>
      <c r="L45" s="31"/>
      <c r="M45" s="31"/>
      <c r="N45" s="31"/>
      <c r="O45" s="36" t="e">
        <f>M45*1000/60/(B45/2)/4</f>
        <v>#DIV/0!</v>
      </c>
      <c r="P45" s="36" t="e">
        <f>M45/X20</f>
        <v>#DIV/0!</v>
      </c>
      <c r="Q45" s="36">
        <f>R20*1000</f>
        <v>0</v>
      </c>
      <c r="R45" s="36">
        <f>Q45*100/287/(273+I20)</f>
        <v>0</v>
      </c>
      <c r="S45" s="36">
        <f>(S20+W20)*1000</f>
        <v>0</v>
      </c>
      <c r="T45" s="36" t="e">
        <f>M45/R45/3600</f>
        <v>#DIV/0!</v>
      </c>
      <c r="U45" s="36" t="e">
        <f>S45/Q45</f>
        <v>#DIV/0!</v>
      </c>
      <c r="V45" s="36">
        <f>(U20+W20)*1000</f>
        <v>0</v>
      </c>
      <c r="W45" s="36">
        <f>(V20+W20)*1000</f>
        <v>0</v>
      </c>
      <c r="X45" s="36" t="e">
        <f>V45/W45</f>
        <v>#DIV/0!</v>
      </c>
      <c r="Y45" s="36" t="e">
        <f>(M45/3600)*SQRT(L20+273)/(V45/1000)</f>
        <v>#DIV/0!</v>
      </c>
      <c r="Z45" s="36">
        <f>(T20+W20)*1000</f>
        <v>0</v>
      </c>
      <c r="AA45" s="36">
        <f>Z45*100/287/(273+K20)</f>
        <v>0</v>
      </c>
      <c r="AB45" s="36">
        <f>2.2/1000*60*(B45/2)</f>
        <v>0</v>
      </c>
      <c r="AC45" s="36">
        <f>AB45*AA45</f>
        <v>0</v>
      </c>
      <c r="AD45" s="36" t="e">
        <f>M45/AC45*100</f>
        <v>#DIV/0!</v>
      </c>
      <c r="AE45" s="36">
        <f>V45-Z45</f>
        <v>0</v>
      </c>
    </row>
    <row r="46" spans="1:31" s="8" customFormat="1" ht="15.95" customHeight="1" x14ac:dyDescent="0.2">
      <c r="B46" s="32"/>
      <c r="C46" s="33"/>
      <c r="D46" s="33"/>
      <c r="E46" s="33"/>
      <c r="F46" s="33"/>
      <c r="G46" s="33"/>
      <c r="H46" s="36">
        <f t="shared" ref="H46:H65" si="1">D46*G46</f>
        <v>0</v>
      </c>
      <c r="I46" s="36" t="e">
        <f t="shared" ref="I46:I65" si="2">E46/G46</f>
        <v>#DIV/0!</v>
      </c>
      <c r="J46" s="33"/>
      <c r="K46" s="33"/>
      <c r="L46" s="33"/>
      <c r="M46" s="33"/>
      <c r="N46" s="33"/>
      <c r="O46" s="36" t="e">
        <f t="shared" ref="O46:O65" si="3">M46*1000/60/(B46/2)/4</f>
        <v>#DIV/0!</v>
      </c>
      <c r="P46" s="36" t="e">
        <f t="shared" ref="P46:P65" si="4">M46/X21</f>
        <v>#DIV/0!</v>
      </c>
      <c r="Q46" s="36">
        <f t="shared" ref="Q46:Q65" si="5">R21*1000</f>
        <v>0</v>
      </c>
      <c r="R46" s="36">
        <f t="shared" ref="R46:R65" si="6">Q46*100/287/(273+I21)</f>
        <v>0</v>
      </c>
      <c r="S46" s="36">
        <f t="shared" ref="S46:S65" si="7">(S21+W21)*1000</f>
        <v>0</v>
      </c>
      <c r="T46" s="36" t="e">
        <f t="shared" ref="T46:T65" si="8">M46/R46/3600</f>
        <v>#DIV/0!</v>
      </c>
      <c r="U46" s="36" t="e">
        <f t="shared" ref="U46:U65" si="9">S46/Q46</f>
        <v>#DIV/0!</v>
      </c>
      <c r="V46" s="36">
        <f t="shared" ref="V46:V65" si="10">(U21+W21)*1000</f>
        <v>0</v>
      </c>
      <c r="W46" s="36">
        <f t="shared" ref="W46:W65" si="11">(V21+W21)*1000</f>
        <v>0</v>
      </c>
      <c r="X46" s="36" t="e">
        <f t="shared" ref="X46:X65" si="12">V46/W46</f>
        <v>#DIV/0!</v>
      </c>
      <c r="Y46" s="36" t="e">
        <f t="shared" ref="Y46:Y65" si="13">(M46/3600)*SQRT(L21+273)/(V46/1000)</f>
        <v>#DIV/0!</v>
      </c>
      <c r="Z46" s="36">
        <f t="shared" ref="Z46:Z65" si="14">(T21+W21)*1000</f>
        <v>0</v>
      </c>
      <c r="AA46" s="36">
        <f t="shared" ref="AA46:AA65" si="15">Z46*100/287/(273+K21)</f>
        <v>0</v>
      </c>
      <c r="AB46" s="36">
        <f t="shared" ref="AB46:AB65" si="16">2.2/1000*60*(B46/2)</f>
        <v>0</v>
      </c>
      <c r="AC46" s="36">
        <f t="shared" ref="AC46:AC65" si="17">AB46*AA46</f>
        <v>0</v>
      </c>
      <c r="AD46" s="36" t="e">
        <f t="shared" ref="AD46:AD65" si="18">M46/AC46*100</f>
        <v>#DIV/0!</v>
      </c>
      <c r="AE46" s="36">
        <f t="shared" ref="AE46:AE65" si="19">V46-Z46</f>
        <v>0</v>
      </c>
    </row>
    <row r="47" spans="1:31" s="8" customFormat="1" ht="15.95" customHeight="1" x14ac:dyDescent="0.2">
      <c r="B47" s="32"/>
      <c r="C47" s="33"/>
      <c r="D47" s="33"/>
      <c r="E47" s="33"/>
      <c r="F47" s="33"/>
      <c r="G47" s="33"/>
      <c r="H47" s="36">
        <f t="shared" si="1"/>
        <v>0</v>
      </c>
      <c r="I47" s="36" t="e">
        <f t="shared" si="2"/>
        <v>#DIV/0!</v>
      </c>
      <c r="J47" s="33"/>
      <c r="K47" s="33"/>
      <c r="L47" s="33"/>
      <c r="M47" s="33"/>
      <c r="N47" s="33"/>
      <c r="O47" s="36" t="e">
        <f t="shared" si="3"/>
        <v>#DIV/0!</v>
      </c>
      <c r="P47" s="36" t="e">
        <f t="shared" si="4"/>
        <v>#DIV/0!</v>
      </c>
      <c r="Q47" s="36">
        <f t="shared" si="5"/>
        <v>0</v>
      </c>
      <c r="R47" s="36">
        <f t="shared" si="6"/>
        <v>0</v>
      </c>
      <c r="S47" s="36">
        <f t="shared" si="7"/>
        <v>0</v>
      </c>
      <c r="T47" s="36" t="e">
        <f t="shared" si="8"/>
        <v>#DIV/0!</v>
      </c>
      <c r="U47" s="36" t="e">
        <f t="shared" si="9"/>
        <v>#DIV/0!</v>
      </c>
      <c r="V47" s="36">
        <f t="shared" si="10"/>
        <v>0</v>
      </c>
      <c r="W47" s="36">
        <f t="shared" si="11"/>
        <v>0</v>
      </c>
      <c r="X47" s="36" t="e">
        <f t="shared" si="12"/>
        <v>#DIV/0!</v>
      </c>
      <c r="Y47" s="36" t="e">
        <f t="shared" si="13"/>
        <v>#DIV/0!</v>
      </c>
      <c r="Z47" s="36">
        <f t="shared" si="14"/>
        <v>0</v>
      </c>
      <c r="AA47" s="36">
        <f t="shared" si="15"/>
        <v>0</v>
      </c>
      <c r="AB47" s="36">
        <f t="shared" si="16"/>
        <v>0</v>
      </c>
      <c r="AC47" s="36">
        <f t="shared" si="17"/>
        <v>0</v>
      </c>
      <c r="AD47" s="36" t="e">
        <f t="shared" si="18"/>
        <v>#DIV/0!</v>
      </c>
      <c r="AE47" s="36">
        <f t="shared" si="19"/>
        <v>0</v>
      </c>
    </row>
    <row r="48" spans="1:31" ht="15.95" customHeight="1" x14ac:dyDescent="0.2">
      <c r="B48" s="32"/>
      <c r="C48" s="33"/>
      <c r="D48" s="33"/>
      <c r="E48" s="33"/>
      <c r="F48" s="33"/>
      <c r="G48" s="33"/>
      <c r="H48" s="36">
        <f t="shared" si="1"/>
        <v>0</v>
      </c>
      <c r="I48" s="36" t="e">
        <f t="shared" si="2"/>
        <v>#DIV/0!</v>
      </c>
      <c r="J48" s="33"/>
      <c r="K48" s="33"/>
      <c r="L48" s="33"/>
      <c r="M48" s="33"/>
      <c r="N48" s="33"/>
      <c r="O48" s="36" t="e">
        <f t="shared" si="3"/>
        <v>#DIV/0!</v>
      </c>
      <c r="P48" s="36" t="e">
        <f t="shared" si="4"/>
        <v>#DIV/0!</v>
      </c>
      <c r="Q48" s="36">
        <f t="shared" si="5"/>
        <v>0</v>
      </c>
      <c r="R48" s="36">
        <f t="shared" si="6"/>
        <v>0</v>
      </c>
      <c r="S48" s="36">
        <f t="shared" si="7"/>
        <v>0</v>
      </c>
      <c r="T48" s="36" t="e">
        <f t="shared" si="8"/>
        <v>#DIV/0!</v>
      </c>
      <c r="U48" s="36" t="e">
        <f t="shared" si="9"/>
        <v>#DIV/0!</v>
      </c>
      <c r="V48" s="36">
        <f t="shared" si="10"/>
        <v>0</v>
      </c>
      <c r="W48" s="36">
        <f t="shared" si="11"/>
        <v>0</v>
      </c>
      <c r="X48" s="36" t="e">
        <f t="shared" si="12"/>
        <v>#DIV/0!</v>
      </c>
      <c r="Y48" s="36" t="e">
        <f t="shared" si="13"/>
        <v>#DIV/0!</v>
      </c>
      <c r="Z48" s="36">
        <f t="shared" si="14"/>
        <v>0</v>
      </c>
      <c r="AA48" s="36">
        <f t="shared" si="15"/>
        <v>0</v>
      </c>
      <c r="AB48" s="36">
        <f t="shared" si="16"/>
        <v>0</v>
      </c>
      <c r="AC48" s="36">
        <f t="shared" si="17"/>
        <v>0</v>
      </c>
      <c r="AD48" s="36" t="e">
        <f t="shared" si="18"/>
        <v>#DIV/0!</v>
      </c>
      <c r="AE48" s="36">
        <f t="shared" si="19"/>
        <v>0</v>
      </c>
    </row>
    <row r="49" spans="1:31" ht="15.95" customHeight="1" x14ac:dyDescent="0.2">
      <c r="A49" s="14"/>
      <c r="B49" s="32"/>
      <c r="C49" s="33"/>
      <c r="D49" s="33"/>
      <c r="E49" s="33"/>
      <c r="F49" s="33"/>
      <c r="G49" s="33"/>
      <c r="H49" s="36">
        <f t="shared" si="1"/>
        <v>0</v>
      </c>
      <c r="I49" s="36" t="e">
        <f t="shared" si="2"/>
        <v>#DIV/0!</v>
      </c>
      <c r="J49" s="33"/>
      <c r="K49" s="33"/>
      <c r="L49" s="33"/>
      <c r="M49" s="33"/>
      <c r="N49" s="33"/>
      <c r="O49" s="36" t="e">
        <f t="shared" si="3"/>
        <v>#DIV/0!</v>
      </c>
      <c r="P49" s="36" t="e">
        <f t="shared" si="4"/>
        <v>#DIV/0!</v>
      </c>
      <c r="Q49" s="36">
        <f t="shared" si="5"/>
        <v>0</v>
      </c>
      <c r="R49" s="36">
        <f t="shared" si="6"/>
        <v>0</v>
      </c>
      <c r="S49" s="36">
        <f t="shared" si="7"/>
        <v>0</v>
      </c>
      <c r="T49" s="36" t="e">
        <f t="shared" si="8"/>
        <v>#DIV/0!</v>
      </c>
      <c r="U49" s="36" t="e">
        <f t="shared" si="9"/>
        <v>#DIV/0!</v>
      </c>
      <c r="V49" s="36">
        <f t="shared" si="10"/>
        <v>0</v>
      </c>
      <c r="W49" s="36">
        <f t="shared" si="11"/>
        <v>0</v>
      </c>
      <c r="X49" s="36" t="e">
        <f t="shared" si="12"/>
        <v>#DIV/0!</v>
      </c>
      <c r="Y49" s="36" t="e">
        <f t="shared" si="13"/>
        <v>#DIV/0!</v>
      </c>
      <c r="Z49" s="36">
        <f t="shared" si="14"/>
        <v>0</v>
      </c>
      <c r="AA49" s="36">
        <f t="shared" si="15"/>
        <v>0</v>
      </c>
      <c r="AB49" s="36">
        <f t="shared" si="16"/>
        <v>0</v>
      </c>
      <c r="AC49" s="36">
        <f t="shared" si="17"/>
        <v>0</v>
      </c>
      <c r="AD49" s="36" t="e">
        <f t="shared" si="18"/>
        <v>#DIV/0!</v>
      </c>
      <c r="AE49" s="36">
        <f t="shared" si="19"/>
        <v>0</v>
      </c>
    </row>
    <row r="50" spans="1:31" ht="15.95" customHeight="1" x14ac:dyDescent="0.2">
      <c r="B50" s="32"/>
      <c r="C50" s="33"/>
      <c r="D50" s="33"/>
      <c r="E50" s="33"/>
      <c r="F50" s="33"/>
      <c r="G50" s="33"/>
      <c r="H50" s="36">
        <f t="shared" si="1"/>
        <v>0</v>
      </c>
      <c r="I50" s="36" t="e">
        <f t="shared" si="2"/>
        <v>#DIV/0!</v>
      </c>
      <c r="J50" s="33"/>
      <c r="K50" s="33"/>
      <c r="L50" s="33"/>
      <c r="M50" s="33"/>
      <c r="N50" s="33"/>
      <c r="O50" s="36" t="e">
        <f t="shared" si="3"/>
        <v>#DIV/0!</v>
      </c>
      <c r="P50" s="36" t="e">
        <f t="shared" si="4"/>
        <v>#DIV/0!</v>
      </c>
      <c r="Q50" s="36">
        <f t="shared" si="5"/>
        <v>0</v>
      </c>
      <c r="R50" s="36">
        <f t="shared" si="6"/>
        <v>0</v>
      </c>
      <c r="S50" s="36">
        <f t="shared" si="7"/>
        <v>0</v>
      </c>
      <c r="T50" s="36" t="e">
        <f t="shared" si="8"/>
        <v>#DIV/0!</v>
      </c>
      <c r="U50" s="36" t="e">
        <f t="shared" si="9"/>
        <v>#DIV/0!</v>
      </c>
      <c r="V50" s="36">
        <f t="shared" si="10"/>
        <v>0</v>
      </c>
      <c r="W50" s="36">
        <f t="shared" si="11"/>
        <v>0</v>
      </c>
      <c r="X50" s="36" t="e">
        <f t="shared" si="12"/>
        <v>#DIV/0!</v>
      </c>
      <c r="Y50" s="36" t="e">
        <f t="shared" si="13"/>
        <v>#DIV/0!</v>
      </c>
      <c r="Z50" s="36">
        <f t="shared" si="14"/>
        <v>0</v>
      </c>
      <c r="AA50" s="36">
        <f t="shared" si="15"/>
        <v>0</v>
      </c>
      <c r="AB50" s="36">
        <f t="shared" si="16"/>
        <v>0</v>
      </c>
      <c r="AC50" s="36">
        <f t="shared" si="17"/>
        <v>0</v>
      </c>
      <c r="AD50" s="36" t="e">
        <f t="shared" si="18"/>
        <v>#DIV/0!</v>
      </c>
      <c r="AE50" s="36">
        <f t="shared" si="19"/>
        <v>0</v>
      </c>
    </row>
    <row r="51" spans="1:31" ht="15.95" customHeight="1" x14ac:dyDescent="0.2">
      <c r="B51" s="32"/>
      <c r="C51" s="33"/>
      <c r="D51" s="33"/>
      <c r="E51" s="33"/>
      <c r="F51" s="33"/>
      <c r="G51" s="33"/>
      <c r="H51" s="36">
        <f t="shared" si="1"/>
        <v>0</v>
      </c>
      <c r="I51" s="36" t="e">
        <f t="shared" si="2"/>
        <v>#DIV/0!</v>
      </c>
      <c r="J51" s="33"/>
      <c r="K51" s="33"/>
      <c r="L51" s="33"/>
      <c r="M51" s="33"/>
      <c r="N51" s="33"/>
      <c r="O51" s="36" t="e">
        <f t="shared" si="3"/>
        <v>#DIV/0!</v>
      </c>
      <c r="P51" s="36" t="e">
        <f t="shared" si="4"/>
        <v>#DIV/0!</v>
      </c>
      <c r="Q51" s="36">
        <f t="shared" si="5"/>
        <v>0</v>
      </c>
      <c r="R51" s="36">
        <f t="shared" si="6"/>
        <v>0</v>
      </c>
      <c r="S51" s="36">
        <f t="shared" si="7"/>
        <v>0</v>
      </c>
      <c r="T51" s="36" t="e">
        <f t="shared" si="8"/>
        <v>#DIV/0!</v>
      </c>
      <c r="U51" s="36" t="e">
        <f t="shared" si="9"/>
        <v>#DIV/0!</v>
      </c>
      <c r="V51" s="36">
        <f t="shared" si="10"/>
        <v>0</v>
      </c>
      <c r="W51" s="36">
        <f t="shared" si="11"/>
        <v>0</v>
      </c>
      <c r="X51" s="36" t="e">
        <f t="shared" si="12"/>
        <v>#DIV/0!</v>
      </c>
      <c r="Y51" s="36" t="e">
        <f t="shared" si="13"/>
        <v>#DIV/0!</v>
      </c>
      <c r="Z51" s="36">
        <f t="shared" si="14"/>
        <v>0</v>
      </c>
      <c r="AA51" s="36">
        <f t="shared" si="15"/>
        <v>0</v>
      </c>
      <c r="AB51" s="36">
        <f t="shared" si="16"/>
        <v>0</v>
      </c>
      <c r="AC51" s="36">
        <f t="shared" si="17"/>
        <v>0</v>
      </c>
      <c r="AD51" s="36" t="e">
        <f t="shared" si="18"/>
        <v>#DIV/0!</v>
      </c>
      <c r="AE51" s="36">
        <f t="shared" si="19"/>
        <v>0</v>
      </c>
    </row>
    <row r="52" spans="1:31" ht="15.95" customHeight="1" x14ac:dyDescent="0.2">
      <c r="B52" s="32"/>
      <c r="C52" s="33"/>
      <c r="D52" s="33"/>
      <c r="E52" s="33"/>
      <c r="F52" s="33"/>
      <c r="G52" s="33"/>
      <c r="H52" s="36">
        <f t="shared" si="1"/>
        <v>0</v>
      </c>
      <c r="I52" s="36" t="e">
        <f t="shared" si="2"/>
        <v>#DIV/0!</v>
      </c>
      <c r="J52" s="33"/>
      <c r="K52" s="33"/>
      <c r="L52" s="33"/>
      <c r="M52" s="33"/>
      <c r="N52" s="33"/>
      <c r="O52" s="36" t="e">
        <f t="shared" si="3"/>
        <v>#DIV/0!</v>
      </c>
      <c r="P52" s="36" t="e">
        <f t="shared" si="4"/>
        <v>#DIV/0!</v>
      </c>
      <c r="Q52" s="36">
        <f t="shared" si="5"/>
        <v>0</v>
      </c>
      <c r="R52" s="36">
        <f t="shared" si="6"/>
        <v>0</v>
      </c>
      <c r="S52" s="36">
        <f t="shared" si="7"/>
        <v>0</v>
      </c>
      <c r="T52" s="36" t="e">
        <f t="shared" si="8"/>
        <v>#DIV/0!</v>
      </c>
      <c r="U52" s="36" t="e">
        <f t="shared" si="9"/>
        <v>#DIV/0!</v>
      </c>
      <c r="V52" s="36">
        <f t="shared" si="10"/>
        <v>0</v>
      </c>
      <c r="W52" s="36">
        <f t="shared" si="11"/>
        <v>0</v>
      </c>
      <c r="X52" s="36" t="e">
        <f t="shared" si="12"/>
        <v>#DIV/0!</v>
      </c>
      <c r="Y52" s="36" t="e">
        <f t="shared" si="13"/>
        <v>#DIV/0!</v>
      </c>
      <c r="Z52" s="36">
        <f t="shared" si="14"/>
        <v>0</v>
      </c>
      <c r="AA52" s="36">
        <f t="shared" si="15"/>
        <v>0</v>
      </c>
      <c r="AB52" s="36">
        <f t="shared" si="16"/>
        <v>0</v>
      </c>
      <c r="AC52" s="36">
        <f t="shared" si="17"/>
        <v>0</v>
      </c>
      <c r="AD52" s="36" t="e">
        <f t="shared" si="18"/>
        <v>#DIV/0!</v>
      </c>
      <c r="AE52" s="36">
        <f t="shared" si="19"/>
        <v>0</v>
      </c>
    </row>
    <row r="53" spans="1:31" ht="15.95" customHeight="1" x14ac:dyDescent="0.2">
      <c r="B53" s="32"/>
      <c r="C53" s="33"/>
      <c r="D53" s="33"/>
      <c r="E53" s="33"/>
      <c r="F53" s="33"/>
      <c r="G53" s="33"/>
      <c r="H53" s="36">
        <f t="shared" si="1"/>
        <v>0</v>
      </c>
      <c r="I53" s="36" t="e">
        <f t="shared" si="2"/>
        <v>#DIV/0!</v>
      </c>
      <c r="J53" s="33"/>
      <c r="K53" s="33"/>
      <c r="L53" s="33"/>
      <c r="M53" s="33"/>
      <c r="N53" s="33"/>
      <c r="O53" s="36" t="e">
        <f t="shared" si="3"/>
        <v>#DIV/0!</v>
      </c>
      <c r="P53" s="36" t="e">
        <f t="shared" si="4"/>
        <v>#DIV/0!</v>
      </c>
      <c r="Q53" s="36">
        <f t="shared" si="5"/>
        <v>0</v>
      </c>
      <c r="R53" s="36">
        <f t="shared" si="6"/>
        <v>0</v>
      </c>
      <c r="S53" s="36">
        <f t="shared" si="7"/>
        <v>0</v>
      </c>
      <c r="T53" s="36" t="e">
        <f t="shared" si="8"/>
        <v>#DIV/0!</v>
      </c>
      <c r="U53" s="36" t="e">
        <f t="shared" si="9"/>
        <v>#DIV/0!</v>
      </c>
      <c r="V53" s="36">
        <f t="shared" si="10"/>
        <v>0</v>
      </c>
      <c r="W53" s="36">
        <f t="shared" si="11"/>
        <v>0</v>
      </c>
      <c r="X53" s="36" t="e">
        <f t="shared" si="12"/>
        <v>#DIV/0!</v>
      </c>
      <c r="Y53" s="36" t="e">
        <f t="shared" si="13"/>
        <v>#DIV/0!</v>
      </c>
      <c r="Z53" s="36">
        <f t="shared" si="14"/>
        <v>0</v>
      </c>
      <c r="AA53" s="36">
        <f t="shared" si="15"/>
        <v>0</v>
      </c>
      <c r="AB53" s="36">
        <f t="shared" si="16"/>
        <v>0</v>
      </c>
      <c r="AC53" s="36">
        <f t="shared" si="17"/>
        <v>0</v>
      </c>
      <c r="AD53" s="36" t="e">
        <f t="shared" si="18"/>
        <v>#DIV/0!</v>
      </c>
      <c r="AE53" s="36">
        <f t="shared" si="19"/>
        <v>0</v>
      </c>
    </row>
    <row r="54" spans="1:31" ht="15.95" customHeight="1" x14ac:dyDescent="0.2">
      <c r="B54" s="32"/>
      <c r="C54" s="33"/>
      <c r="D54" s="33"/>
      <c r="E54" s="33"/>
      <c r="F54" s="33"/>
      <c r="G54" s="33"/>
      <c r="H54" s="36">
        <f t="shared" si="1"/>
        <v>0</v>
      </c>
      <c r="I54" s="36" t="e">
        <f t="shared" si="2"/>
        <v>#DIV/0!</v>
      </c>
      <c r="J54" s="33"/>
      <c r="K54" s="33"/>
      <c r="L54" s="33"/>
      <c r="M54" s="33"/>
      <c r="N54" s="33"/>
      <c r="O54" s="36" t="e">
        <f t="shared" si="3"/>
        <v>#DIV/0!</v>
      </c>
      <c r="P54" s="36" t="e">
        <f t="shared" si="4"/>
        <v>#DIV/0!</v>
      </c>
      <c r="Q54" s="36">
        <f t="shared" si="5"/>
        <v>0</v>
      </c>
      <c r="R54" s="36">
        <f t="shared" si="6"/>
        <v>0</v>
      </c>
      <c r="S54" s="36">
        <f t="shared" si="7"/>
        <v>0</v>
      </c>
      <c r="T54" s="36" t="e">
        <f t="shared" si="8"/>
        <v>#DIV/0!</v>
      </c>
      <c r="U54" s="36" t="e">
        <f t="shared" si="9"/>
        <v>#DIV/0!</v>
      </c>
      <c r="V54" s="36">
        <f t="shared" si="10"/>
        <v>0</v>
      </c>
      <c r="W54" s="36">
        <f t="shared" si="11"/>
        <v>0</v>
      </c>
      <c r="X54" s="36" t="e">
        <f t="shared" si="12"/>
        <v>#DIV/0!</v>
      </c>
      <c r="Y54" s="36" t="e">
        <f t="shared" si="13"/>
        <v>#DIV/0!</v>
      </c>
      <c r="Z54" s="36">
        <f t="shared" si="14"/>
        <v>0</v>
      </c>
      <c r="AA54" s="36">
        <f t="shared" si="15"/>
        <v>0</v>
      </c>
      <c r="AB54" s="36">
        <f t="shared" si="16"/>
        <v>0</v>
      </c>
      <c r="AC54" s="36">
        <f t="shared" si="17"/>
        <v>0</v>
      </c>
      <c r="AD54" s="36" t="e">
        <f t="shared" si="18"/>
        <v>#DIV/0!</v>
      </c>
      <c r="AE54" s="36">
        <f t="shared" si="19"/>
        <v>0</v>
      </c>
    </row>
    <row r="55" spans="1:31" ht="15.95" customHeight="1" x14ac:dyDescent="0.2">
      <c r="B55" s="32"/>
      <c r="C55" s="33"/>
      <c r="D55" s="33"/>
      <c r="E55" s="33"/>
      <c r="F55" s="33"/>
      <c r="G55" s="33"/>
      <c r="H55" s="36">
        <f t="shared" si="1"/>
        <v>0</v>
      </c>
      <c r="I55" s="36" t="e">
        <f t="shared" si="2"/>
        <v>#DIV/0!</v>
      </c>
      <c r="J55" s="33"/>
      <c r="K55" s="33"/>
      <c r="L55" s="33"/>
      <c r="M55" s="33"/>
      <c r="N55" s="33"/>
      <c r="O55" s="36" t="e">
        <f t="shared" si="3"/>
        <v>#DIV/0!</v>
      </c>
      <c r="P55" s="36" t="e">
        <f t="shared" si="4"/>
        <v>#DIV/0!</v>
      </c>
      <c r="Q55" s="36">
        <f t="shared" si="5"/>
        <v>0</v>
      </c>
      <c r="R55" s="36">
        <f t="shared" si="6"/>
        <v>0</v>
      </c>
      <c r="S55" s="36">
        <f t="shared" si="7"/>
        <v>0</v>
      </c>
      <c r="T55" s="36" t="e">
        <f t="shared" si="8"/>
        <v>#DIV/0!</v>
      </c>
      <c r="U55" s="36" t="e">
        <f t="shared" si="9"/>
        <v>#DIV/0!</v>
      </c>
      <c r="V55" s="36">
        <f t="shared" si="10"/>
        <v>0</v>
      </c>
      <c r="W55" s="36">
        <f t="shared" si="11"/>
        <v>0</v>
      </c>
      <c r="X55" s="36" t="e">
        <f t="shared" si="12"/>
        <v>#DIV/0!</v>
      </c>
      <c r="Y55" s="36" t="e">
        <f t="shared" si="13"/>
        <v>#DIV/0!</v>
      </c>
      <c r="Z55" s="36">
        <f t="shared" si="14"/>
        <v>0</v>
      </c>
      <c r="AA55" s="36">
        <f t="shared" si="15"/>
        <v>0</v>
      </c>
      <c r="AB55" s="36">
        <f t="shared" si="16"/>
        <v>0</v>
      </c>
      <c r="AC55" s="36">
        <f t="shared" si="17"/>
        <v>0</v>
      </c>
      <c r="AD55" s="36" t="e">
        <f t="shared" si="18"/>
        <v>#DIV/0!</v>
      </c>
      <c r="AE55" s="36">
        <f t="shared" si="19"/>
        <v>0</v>
      </c>
    </row>
    <row r="56" spans="1:31" ht="15.95" customHeight="1" x14ac:dyDescent="0.2">
      <c r="B56" s="32"/>
      <c r="C56" s="33"/>
      <c r="D56" s="33"/>
      <c r="E56" s="33"/>
      <c r="F56" s="33"/>
      <c r="G56" s="33"/>
      <c r="H56" s="36">
        <f t="shared" si="1"/>
        <v>0</v>
      </c>
      <c r="I56" s="36" t="e">
        <f t="shared" si="2"/>
        <v>#DIV/0!</v>
      </c>
      <c r="J56" s="33"/>
      <c r="K56" s="33"/>
      <c r="L56" s="33"/>
      <c r="M56" s="33"/>
      <c r="N56" s="33"/>
      <c r="O56" s="36" t="e">
        <f t="shared" si="3"/>
        <v>#DIV/0!</v>
      </c>
      <c r="P56" s="36" t="e">
        <f t="shared" si="4"/>
        <v>#DIV/0!</v>
      </c>
      <c r="Q56" s="36">
        <f t="shared" si="5"/>
        <v>0</v>
      </c>
      <c r="R56" s="36">
        <f t="shared" si="6"/>
        <v>0</v>
      </c>
      <c r="S56" s="36">
        <f t="shared" si="7"/>
        <v>0</v>
      </c>
      <c r="T56" s="36" t="e">
        <f t="shared" si="8"/>
        <v>#DIV/0!</v>
      </c>
      <c r="U56" s="36" t="e">
        <f t="shared" si="9"/>
        <v>#DIV/0!</v>
      </c>
      <c r="V56" s="36">
        <f t="shared" si="10"/>
        <v>0</v>
      </c>
      <c r="W56" s="36">
        <f t="shared" si="11"/>
        <v>0</v>
      </c>
      <c r="X56" s="36" t="e">
        <f t="shared" si="12"/>
        <v>#DIV/0!</v>
      </c>
      <c r="Y56" s="36" t="e">
        <f t="shared" si="13"/>
        <v>#DIV/0!</v>
      </c>
      <c r="Z56" s="36">
        <f t="shared" si="14"/>
        <v>0</v>
      </c>
      <c r="AA56" s="36">
        <f t="shared" si="15"/>
        <v>0</v>
      </c>
      <c r="AB56" s="36">
        <f t="shared" si="16"/>
        <v>0</v>
      </c>
      <c r="AC56" s="36">
        <f t="shared" si="17"/>
        <v>0</v>
      </c>
      <c r="AD56" s="36" t="e">
        <f t="shared" si="18"/>
        <v>#DIV/0!</v>
      </c>
      <c r="AE56" s="36">
        <f t="shared" si="19"/>
        <v>0</v>
      </c>
    </row>
    <row r="57" spans="1:31" ht="15.95" customHeight="1" x14ac:dyDescent="0.2">
      <c r="B57" s="32"/>
      <c r="C57" s="33"/>
      <c r="D57" s="33"/>
      <c r="E57" s="33"/>
      <c r="F57" s="33"/>
      <c r="G57" s="33"/>
      <c r="H57" s="36">
        <f t="shared" si="1"/>
        <v>0</v>
      </c>
      <c r="I57" s="36" t="e">
        <f t="shared" si="2"/>
        <v>#DIV/0!</v>
      </c>
      <c r="J57" s="33"/>
      <c r="K57" s="33"/>
      <c r="L57" s="33"/>
      <c r="M57" s="33"/>
      <c r="N57" s="33"/>
      <c r="O57" s="36" t="e">
        <f t="shared" si="3"/>
        <v>#DIV/0!</v>
      </c>
      <c r="P57" s="36" t="e">
        <f t="shared" si="4"/>
        <v>#DIV/0!</v>
      </c>
      <c r="Q57" s="36">
        <f t="shared" si="5"/>
        <v>0</v>
      </c>
      <c r="R57" s="36">
        <f t="shared" si="6"/>
        <v>0</v>
      </c>
      <c r="S57" s="36">
        <f t="shared" si="7"/>
        <v>0</v>
      </c>
      <c r="T57" s="36" t="e">
        <f t="shared" si="8"/>
        <v>#DIV/0!</v>
      </c>
      <c r="U57" s="36" t="e">
        <f t="shared" si="9"/>
        <v>#DIV/0!</v>
      </c>
      <c r="V57" s="36">
        <f t="shared" si="10"/>
        <v>0</v>
      </c>
      <c r="W57" s="36">
        <f t="shared" si="11"/>
        <v>0</v>
      </c>
      <c r="X57" s="36" t="e">
        <f t="shared" si="12"/>
        <v>#DIV/0!</v>
      </c>
      <c r="Y57" s="36" t="e">
        <f t="shared" si="13"/>
        <v>#DIV/0!</v>
      </c>
      <c r="Z57" s="36">
        <f t="shared" si="14"/>
        <v>0</v>
      </c>
      <c r="AA57" s="36">
        <f t="shared" si="15"/>
        <v>0</v>
      </c>
      <c r="AB57" s="36">
        <f t="shared" si="16"/>
        <v>0</v>
      </c>
      <c r="AC57" s="36">
        <f t="shared" si="17"/>
        <v>0</v>
      </c>
      <c r="AD57" s="36" t="e">
        <f t="shared" si="18"/>
        <v>#DIV/0!</v>
      </c>
      <c r="AE57" s="36">
        <f t="shared" si="19"/>
        <v>0</v>
      </c>
    </row>
    <row r="58" spans="1:31" ht="15.95" customHeight="1" x14ac:dyDescent="0.2">
      <c r="B58" s="32"/>
      <c r="C58" s="33"/>
      <c r="D58" s="33"/>
      <c r="E58" s="33"/>
      <c r="F58" s="33"/>
      <c r="G58" s="33"/>
      <c r="H58" s="36">
        <f t="shared" si="1"/>
        <v>0</v>
      </c>
      <c r="I58" s="36" t="e">
        <f t="shared" si="2"/>
        <v>#DIV/0!</v>
      </c>
      <c r="J58" s="33"/>
      <c r="K58" s="33"/>
      <c r="L58" s="33"/>
      <c r="M58" s="33"/>
      <c r="N58" s="33"/>
      <c r="O58" s="36" t="e">
        <f t="shared" si="3"/>
        <v>#DIV/0!</v>
      </c>
      <c r="P58" s="36" t="e">
        <f t="shared" si="4"/>
        <v>#DIV/0!</v>
      </c>
      <c r="Q58" s="36">
        <f t="shared" si="5"/>
        <v>0</v>
      </c>
      <c r="R58" s="36">
        <f t="shared" si="6"/>
        <v>0</v>
      </c>
      <c r="S58" s="36">
        <f t="shared" si="7"/>
        <v>0</v>
      </c>
      <c r="T58" s="36" t="e">
        <f t="shared" si="8"/>
        <v>#DIV/0!</v>
      </c>
      <c r="U58" s="36" t="e">
        <f t="shared" si="9"/>
        <v>#DIV/0!</v>
      </c>
      <c r="V58" s="36">
        <f t="shared" si="10"/>
        <v>0</v>
      </c>
      <c r="W58" s="36">
        <f t="shared" si="11"/>
        <v>0</v>
      </c>
      <c r="X58" s="36" t="e">
        <f t="shared" si="12"/>
        <v>#DIV/0!</v>
      </c>
      <c r="Y58" s="36" t="e">
        <f t="shared" si="13"/>
        <v>#DIV/0!</v>
      </c>
      <c r="Z58" s="36">
        <f t="shared" si="14"/>
        <v>0</v>
      </c>
      <c r="AA58" s="36">
        <f t="shared" si="15"/>
        <v>0</v>
      </c>
      <c r="AB58" s="36">
        <f t="shared" si="16"/>
        <v>0</v>
      </c>
      <c r="AC58" s="36">
        <f t="shared" si="17"/>
        <v>0</v>
      </c>
      <c r="AD58" s="36" t="e">
        <f t="shared" si="18"/>
        <v>#DIV/0!</v>
      </c>
      <c r="AE58" s="36">
        <f t="shared" si="19"/>
        <v>0</v>
      </c>
    </row>
    <row r="59" spans="1:31" ht="15.95" customHeight="1" x14ac:dyDescent="0.2">
      <c r="B59" s="32"/>
      <c r="C59" s="33"/>
      <c r="D59" s="33"/>
      <c r="E59" s="33"/>
      <c r="F59" s="33"/>
      <c r="G59" s="33"/>
      <c r="H59" s="36">
        <f t="shared" si="1"/>
        <v>0</v>
      </c>
      <c r="I59" s="36" t="e">
        <f t="shared" si="2"/>
        <v>#DIV/0!</v>
      </c>
      <c r="J59" s="33"/>
      <c r="K59" s="33"/>
      <c r="L59" s="33"/>
      <c r="M59" s="33"/>
      <c r="N59" s="33"/>
      <c r="O59" s="36" t="e">
        <f t="shared" si="3"/>
        <v>#DIV/0!</v>
      </c>
      <c r="P59" s="36" t="e">
        <f t="shared" si="4"/>
        <v>#DIV/0!</v>
      </c>
      <c r="Q59" s="36">
        <f t="shared" si="5"/>
        <v>0</v>
      </c>
      <c r="R59" s="36">
        <f t="shared" si="6"/>
        <v>0</v>
      </c>
      <c r="S59" s="36">
        <f t="shared" si="7"/>
        <v>0</v>
      </c>
      <c r="T59" s="36" t="e">
        <f t="shared" si="8"/>
        <v>#DIV/0!</v>
      </c>
      <c r="U59" s="36" t="e">
        <f t="shared" si="9"/>
        <v>#DIV/0!</v>
      </c>
      <c r="V59" s="36">
        <f t="shared" si="10"/>
        <v>0</v>
      </c>
      <c r="W59" s="36">
        <f t="shared" si="11"/>
        <v>0</v>
      </c>
      <c r="X59" s="36" t="e">
        <f t="shared" si="12"/>
        <v>#DIV/0!</v>
      </c>
      <c r="Y59" s="36" t="e">
        <f t="shared" si="13"/>
        <v>#DIV/0!</v>
      </c>
      <c r="Z59" s="36">
        <f t="shared" si="14"/>
        <v>0</v>
      </c>
      <c r="AA59" s="36">
        <f t="shared" si="15"/>
        <v>0</v>
      </c>
      <c r="AB59" s="36">
        <f t="shared" si="16"/>
        <v>0</v>
      </c>
      <c r="AC59" s="36">
        <f t="shared" si="17"/>
        <v>0</v>
      </c>
      <c r="AD59" s="36" t="e">
        <f t="shared" si="18"/>
        <v>#DIV/0!</v>
      </c>
      <c r="AE59" s="36">
        <f t="shared" si="19"/>
        <v>0</v>
      </c>
    </row>
    <row r="60" spans="1:31" ht="15.95" customHeight="1" x14ac:dyDescent="0.2">
      <c r="B60" s="32"/>
      <c r="C60" s="33"/>
      <c r="D60" s="33"/>
      <c r="E60" s="33"/>
      <c r="F60" s="33"/>
      <c r="G60" s="33"/>
      <c r="H60" s="36">
        <f t="shared" si="1"/>
        <v>0</v>
      </c>
      <c r="I60" s="36" t="e">
        <f t="shared" si="2"/>
        <v>#DIV/0!</v>
      </c>
      <c r="J60" s="33"/>
      <c r="K60" s="33"/>
      <c r="L60" s="33"/>
      <c r="M60" s="33"/>
      <c r="N60" s="33"/>
      <c r="O60" s="36" t="e">
        <f t="shared" si="3"/>
        <v>#DIV/0!</v>
      </c>
      <c r="P60" s="36" t="e">
        <f t="shared" si="4"/>
        <v>#DIV/0!</v>
      </c>
      <c r="Q60" s="36">
        <f t="shared" si="5"/>
        <v>0</v>
      </c>
      <c r="R60" s="36">
        <f t="shared" si="6"/>
        <v>0</v>
      </c>
      <c r="S60" s="36">
        <f t="shared" si="7"/>
        <v>0</v>
      </c>
      <c r="T60" s="36" t="e">
        <f t="shared" si="8"/>
        <v>#DIV/0!</v>
      </c>
      <c r="U60" s="36" t="e">
        <f t="shared" si="9"/>
        <v>#DIV/0!</v>
      </c>
      <c r="V60" s="36">
        <f t="shared" si="10"/>
        <v>0</v>
      </c>
      <c r="W60" s="36">
        <f t="shared" si="11"/>
        <v>0</v>
      </c>
      <c r="X60" s="36" t="e">
        <f t="shared" si="12"/>
        <v>#DIV/0!</v>
      </c>
      <c r="Y60" s="36" t="e">
        <f t="shared" si="13"/>
        <v>#DIV/0!</v>
      </c>
      <c r="Z60" s="36">
        <f t="shared" si="14"/>
        <v>0</v>
      </c>
      <c r="AA60" s="36">
        <f t="shared" si="15"/>
        <v>0</v>
      </c>
      <c r="AB60" s="36">
        <f t="shared" si="16"/>
        <v>0</v>
      </c>
      <c r="AC60" s="36">
        <f t="shared" si="17"/>
        <v>0</v>
      </c>
      <c r="AD60" s="36" t="e">
        <f t="shared" si="18"/>
        <v>#DIV/0!</v>
      </c>
      <c r="AE60" s="36">
        <f t="shared" si="19"/>
        <v>0</v>
      </c>
    </row>
    <row r="61" spans="1:31" ht="15.95" customHeight="1" x14ac:dyDescent="0.2">
      <c r="B61" s="32"/>
      <c r="C61" s="33"/>
      <c r="D61" s="33"/>
      <c r="E61" s="33"/>
      <c r="F61" s="33"/>
      <c r="G61" s="33"/>
      <c r="H61" s="36">
        <f t="shared" si="1"/>
        <v>0</v>
      </c>
      <c r="I61" s="36" t="e">
        <f t="shared" si="2"/>
        <v>#DIV/0!</v>
      </c>
      <c r="J61" s="33"/>
      <c r="K61" s="33"/>
      <c r="L61" s="33"/>
      <c r="M61" s="33"/>
      <c r="N61" s="33"/>
      <c r="O61" s="36" t="e">
        <f t="shared" si="3"/>
        <v>#DIV/0!</v>
      </c>
      <c r="P61" s="36" t="e">
        <f t="shared" si="4"/>
        <v>#DIV/0!</v>
      </c>
      <c r="Q61" s="36">
        <f t="shared" si="5"/>
        <v>0</v>
      </c>
      <c r="R61" s="36">
        <f t="shared" si="6"/>
        <v>0</v>
      </c>
      <c r="S61" s="36">
        <f t="shared" si="7"/>
        <v>0</v>
      </c>
      <c r="T61" s="36" t="e">
        <f t="shared" si="8"/>
        <v>#DIV/0!</v>
      </c>
      <c r="U61" s="36" t="e">
        <f t="shared" si="9"/>
        <v>#DIV/0!</v>
      </c>
      <c r="V61" s="36">
        <f t="shared" si="10"/>
        <v>0</v>
      </c>
      <c r="W61" s="36">
        <f t="shared" si="11"/>
        <v>0</v>
      </c>
      <c r="X61" s="36" t="e">
        <f t="shared" si="12"/>
        <v>#DIV/0!</v>
      </c>
      <c r="Y61" s="36" t="e">
        <f t="shared" si="13"/>
        <v>#DIV/0!</v>
      </c>
      <c r="Z61" s="36">
        <f t="shared" si="14"/>
        <v>0</v>
      </c>
      <c r="AA61" s="36">
        <f t="shared" si="15"/>
        <v>0</v>
      </c>
      <c r="AB61" s="36">
        <f t="shared" si="16"/>
        <v>0</v>
      </c>
      <c r="AC61" s="36">
        <f t="shared" si="17"/>
        <v>0</v>
      </c>
      <c r="AD61" s="36" t="e">
        <f t="shared" si="18"/>
        <v>#DIV/0!</v>
      </c>
      <c r="AE61" s="36">
        <f t="shared" si="19"/>
        <v>0</v>
      </c>
    </row>
    <row r="62" spans="1:31" ht="15.95" customHeight="1" x14ac:dyDescent="0.2">
      <c r="B62" s="32"/>
      <c r="C62" s="33"/>
      <c r="D62" s="33"/>
      <c r="E62" s="33"/>
      <c r="F62" s="33"/>
      <c r="G62" s="33"/>
      <c r="H62" s="36">
        <f t="shared" si="1"/>
        <v>0</v>
      </c>
      <c r="I62" s="36" t="e">
        <f t="shared" si="2"/>
        <v>#DIV/0!</v>
      </c>
      <c r="J62" s="33"/>
      <c r="K62" s="33"/>
      <c r="L62" s="33"/>
      <c r="M62" s="33"/>
      <c r="N62" s="33"/>
      <c r="O62" s="36" t="e">
        <f t="shared" si="3"/>
        <v>#DIV/0!</v>
      </c>
      <c r="P62" s="36" t="e">
        <f t="shared" si="4"/>
        <v>#DIV/0!</v>
      </c>
      <c r="Q62" s="36">
        <f t="shared" si="5"/>
        <v>0</v>
      </c>
      <c r="R62" s="36">
        <f t="shared" si="6"/>
        <v>0</v>
      </c>
      <c r="S62" s="36">
        <f t="shared" si="7"/>
        <v>0</v>
      </c>
      <c r="T62" s="36" t="e">
        <f t="shared" si="8"/>
        <v>#DIV/0!</v>
      </c>
      <c r="U62" s="36" t="e">
        <f t="shared" si="9"/>
        <v>#DIV/0!</v>
      </c>
      <c r="V62" s="36">
        <f t="shared" si="10"/>
        <v>0</v>
      </c>
      <c r="W62" s="36">
        <f t="shared" si="11"/>
        <v>0</v>
      </c>
      <c r="X62" s="36" t="e">
        <f t="shared" si="12"/>
        <v>#DIV/0!</v>
      </c>
      <c r="Y62" s="36" t="e">
        <f t="shared" si="13"/>
        <v>#DIV/0!</v>
      </c>
      <c r="Z62" s="36">
        <f t="shared" si="14"/>
        <v>0</v>
      </c>
      <c r="AA62" s="36">
        <f t="shared" si="15"/>
        <v>0</v>
      </c>
      <c r="AB62" s="36">
        <f t="shared" si="16"/>
        <v>0</v>
      </c>
      <c r="AC62" s="36">
        <f t="shared" si="17"/>
        <v>0</v>
      </c>
      <c r="AD62" s="36" t="e">
        <f t="shared" si="18"/>
        <v>#DIV/0!</v>
      </c>
      <c r="AE62" s="36">
        <f t="shared" si="19"/>
        <v>0</v>
      </c>
    </row>
    <row r="63" spans="1:31" ht="15.95" customHeight="1" x14ac:dyDescent="0.2">
      <c r="B63" s="32"/>
      <c r="C63" s="33"/>
      <c r="D63" s="33"/>
      <c r="E63" s="33"/>
      <c r="F63" s="33"/>
      <c r="G63" s="33"/>
      <c r="H63" s="36">
        <f t="shared" si="1"/>
        <v>0</v>
      </c>
      <c r="I63" s="36" t="e">
        <f t="shared" si="2"/>
        <v>#DIV/0!</v>
      </c>
      <c r="J63" s="33"/>
      <c r="K63" s="33"/>
      <c r="L63" s="33"/>
      <c r="M63" s="33"/>
      <c r="N63" s="33"/>
      <c r="O63" s="36" t="e">
        <f t="shared" si="3"/>
        <v>#DIV/0!</v>
      </c>
      <c r="P63" s="36" t="e">
        <f t="shared" si="4"/>
        <v>#DIV/0!</v>
      </c>
      <c r="Q63" s="36">
        <f t="shared" si="5"/>
        <v>0</v>
      </c>
      <c r="R63" s="36">
        <f t="shared" si="6"/>
        <v>0</v>
      </c>
      <c r="S63" s="36">
        <f t="shared" si="7"/>
        <v>0</v>
      </c>
      <c r="T63" s="36" t="e">
        <f t="shared" si="8"/>
        <v>#DIV/0!</v>
      </c>
      <c r="U63" s="36" t="e">
        <f t="shared" si="9"/>
        <v>#DIV/0!</v>
      </c>
      <c r="V63" s="36">
        <f t="shared" si="10"/>
        <v>0</v>
      </c>
      <c r="W63" s="36">
        <f t="shared" si="11"/>
        <v>0</v>
      </c>
      <c r="X63" s="36" t="e">
        <f t="shared" si="12"/>
        <v>#DIV/0!</v>
      </c>
      <c r="Y63" s="36" t="e">
        <f t="shared" si="13"/>
        <v>#DIV/0!</v>
      </c>
      <c r="Z63" s="36">
        <f t="shared" si="14"/>
        <v>0</v>
      </c>
      <c r="AA63" s="36">
        <f t="shared" si="15"/>
        <v>0</v>
      </c>
      <c r="AB63" s="36">
        <f t="shared" si="16"/>
        <v>0</v>
      </c>
      <c r="AC63" s="36">
        <f t="shared" si="17"/>
        <v>0</v>
      </c>
      <c r="AD63" s="36" t="e">
        <f t="shared" si="18"/>
        <v>#DIV/0!</v>
      </c>
      <c r="AE63" s="36">
        <f t="shared" si="19"/>
        <v>0</v>
      </c>
    </row>
    <row r="64" spans="1:31" ht="15.95" customHeight="1" x14ac:dyDescent="0.2">
      <c r="B64" s="32"/>
      <c r="C64" s="33"/>
      <c r="D64" s="33"/>
      <c r="E64" s="33"/>
      <c r="F64" s="33"/>
      <c r="G64" s="33"/>
      <c r="H64" s="36">
        <f t="shared" si="1"/>
        <v>0</v>
      </c>
      <c r="I64" s="36" t="e">
        <f t="shared" si="2"/>
        <v>#DIV/0!</v>
      </c>
      <c r="J64" s="33"/>
      <c r="K64" s="33"/>
      <c r="L64" s="33"/>
      <c r="M64" s="33"/>
      <c r="N64" s="33"/>
      <c r="O64" s="36" t="e">
        <f t="shared" si="3"/>
        <v>#DIV/0!</v>
      </c>
      <c r="P64" s="36" t="e">
        <f t="shared" si="4"/>
        <v>#DIV/0!</v>
      </c>
      <c r="Q64" s="36">
        <f t="shared" si="5"/>
        <v>0</v>
      </c>
      <c r="R64" s="36">
        <f t="shared" si="6"/>
        <v>0</v>
      </c>
      <c r="S64" s="36">
        <f t="shared" si="7"/>
        <v>0</v>
      </c>
      <c r="T64" s="36" t="e">
        <f t="shared" si="8"/>
        <v>#DIV/0!</v>
      </c>
      <c r="U64" s="36" t="e">
        <f t="shared" si="9"/>
        <v>#DIV/0!</v>
      </c>
      <c r="V64" s="36">
        <f t="shared" si="10"/>
        <v>0</v>
      </c>
      <c r="W64" s="36">
        <f t="shared" si="11"/>
        <v>0</v>
      </c>
      <c r="X64" s="36" t="e">
        <f t="shared" si="12"/>
        <v>#DIV/0!</v>
      </c>
      <c r="Y64" s="36" t="e">
        <f t="shared" si="13"/>
        <v>#DIV/0!</v>
      </c>
      <c r="Z64" s="36">
        <f t="shared" si="14"/>
        <v>0</v>
      </c>
      <c r="AA64" s="36">
        <f t="shared" si="15"/>
        <v>0</v>
      </c>
      <c r="AB64" s="36">
        <f t="shared" si="16"/>
        <v>0</v>
      </c>
      <c r="AC64" s="36">
        <f t="shared" si="17"/>
        <v>0</v>
      </c>
      <c r="AD64" s="36" t="e">
        <f t="shared" si="18"/>
        <v>#DIV/0!</v>
      </c>
      <c r="AE64" s="36">
        <f t="shared" si="19"/>
        <v>0</v>
      </c>
    </row>
    <row r="65" spans="2:31" ht="15.95" customHeight="1" x14ac:dyDescent="0.2">
      <c r="B65" s="34"/>
      <c r="C65" s="35"/>
      <c r="D65" s="35"/>
      <c r="E65" s="35"/>
      <c r="F65" s="35"/>
      <c r="G65" s="35"/>
      <c r="H65" s="36">
        <f t="shared" si="1"/>
        <v>0</v>
      </c>
      <c r="I65" s="36" t="e">
        <f t="shared" si="2"/>
        <v>#DIV/0!</v>
      </c>
      <c r="J65" s="35"/>
      <c r="K65" s="35"/>
      <c r="L65" s="35"/>
      <c r="M65" s="35"/>
      <c r="N65" s="35"/>
      <c r="O65" s="36" t="e">
        <f t="shared" si="3"/>
        <v>#DIV/0!</v>
      </c>
      <c r="P65" s="36" t="e">
        <f t="shared" si="4"/>
        <v>#DIV/0!</v>
      </c>
      <c r="Q65" s="36">
        <f t="shared" si="5"/>
        <v>0</v>
      </c>
      <c r="R65" s="36">
        <f t="shared" si="6"/>
        <v>0</v>
      </c>
      <c r="S65" s="36">
        <f t="shared" si="7"/>
        <v>0</v>
      </c>
      <c r="T65" s="36" t="e">
        <f t="shared" si="8"/>
        <v>#DIV/0!</v>
      </c>
      <c r="U65" s="36" t="e">
        <f t="shared" si="9"/>
        <v>#DIV/0!</v>
      </c>
      <c r="V65" s="36">
        <f t="shared" si="10"/>
        <v>0</v>
      </c>
      <c r="W65" s="36">
        <f t="shared" si="11"/>
        <v>0</v>
      </c>
      <c r="X65" s="36" t="e">
        <f t="shared" si="12"/>
        <v>#DIV/0!</v>
      </c>
      <c r="Y65" s="36" t="e">
        <f t="shared" si="13"/>
        <v>#DIV/0!</v>
      </c>
      <c r="Z65" s="36">
        <f t="shared" si="14"/>
        <v>0</v>
      </c>
      <c r="AA65" s="36">
        <f t="shared" si="15"/>
        <v>0</v>
      </c>
      <c r="AB65" s="36">
        <f t="shared" si="16"/>
        <v>0</v>
      </c>
      <c r="AC65" s="36">
        <f t="shared" si="17"/>
        <v>0</v>
      </c>
      <c r="AD65" s="36" t="e">
        <f t="shared" si="18"/>
        <v>#DIV/0!</v>
      </c>
      <c r="AE65" s="36">
        <f t="shared" si="19"/>
        <v>0</v>
      </c>
    </row>
    <row r="66" spans="2:31" ht="13.5" customHeight="1" x14ac:dyDescent="0.2"/>
    <row r="67" spans="2:31" ht="11.25" customHeight="1" thickBot="1" x14ac:dyDescent="0.25"/>
    <row r="68" spans="2:31" ht="11.25" customHeight="1" x14ac:dyDescent="0.2">
      <c r="B68" s="129" t="s">
        <v>138</v>
      </c>
      <c r="C68" s="130"/>
      <c r="D68" s="131">
        <v>4743</v>
      </c>
      <c r="E68" s="132" t="s">
        <v>139</v>
      </c>
      <c r="F68" s="133">
        <v>120</v>
      </c>
      <c r="G68" s="132" t="s">
        <v>140</v>
      </c>
      <c r="H68" s="134">
        <v>4</v>
      </c>
    </row>
    <row r="69" spans="2:31" ht="12" customHeight="1" thickBot="1" x14ac:dyDescent="0.25">
      <c r="B69" s="135" t="s">
        <v>141</v>
      </c>
      <c r="C69" s="136"/>
      <c r="D69" s="137">
        <v>802</v>
      </c>
      <c r="E69" s="138" t="s">
        <v>139</v>
      </c>
      <c r="F69" s="139">
        <v>90.2</v>
      </c>
      <c r="G69" s="138" t="s">
        <v>140</v>
      </c>
      <c r="H69" s="140">
        <v>1.34</v>
      </c>
    </row>
    <row r="73" spans="2:31" ht="14.25" thickBot="1" x14ac:dyDescent="0.25">
      <c r="H73" s="141"/>
      <c r="I73" s="142" t="s">
        <v>142</v>
      </c>
      <c r="J73" s="142"/>
      <c r="K73" s="142"/>
      <c r="L73" s="142"/>
      <c r="M73" s="142"/>
      <c r="N73" s="142"/>
      <c r="O73" s="143"/>
    </row>
    <row r="74" spans="2:31" x14ac:dyDescent="0.2">
      <c r="H74" s="144"/>
      <c r="I74" s="145"/>
      <c r="J74" s="145"/>
      <c r="K74" s="145"/>
      <c r="L74" s="145"/>
      <c r="M74" s="145"/>
      <c r="N74" s="145"/>
      <c r="O74" s="146"/>
    </row>
    <row r="75" spans="2:31" ht="13.5" thickBot="1" x14ac:dyDescent="0.25">
      <c r="H75" s="147"/>
      <c r="I75" s="148"/>
      <c r="J75" s="148"/>
      <c r="K75" s="148"/>
      <c r="L75" s="148"/>
      <c r="M75" s="148"/>
      <c r="N75" s="148"/>
      <c r="O75" s="149"/>
    </row>
    <row r="76" spans="2:31" ht="13.5" thickBot="1" x14ac:dyDescent="0.25">
      <c r="H76" s="147"/>
      <c r="I76" s="148"/>
      <c r="J76" s="148"/>
      <c r="K76" s="148"/>
      <c r="L76" s="148"/>
      <c r="M76" s="150">
        <v>843.5</v>
      </c>
      <c r="N76" s="151" t="s">
        <v>143</v>
      </c>
      <c r="O76" s="149"/>
    </row>
    <row r="77" spans="2:31" ht="13.5" thickBot="1" x14ac:dyDescent="0.25">
      <c r="H77" s="147"/>
      <c r="I77" s="148"/>
      <c r="J77" s="148"/>
      <c r="K77" s="148"/>
      <c r="L77" s="148"/>
      <c r="M77" s="151"/>
      <c r="N77" s="151"/>
      <c r="O77" s="149"/>
    </row>
    <row r="78" spans="2:31" ht="13.5" thickBot="1" x14ac:dyDescent="0.25">
      <c r="H78" s="147"/>
      <c r="I78" s="148"/>
      <c r="J78" s="148"/>
      <c r="K78" s="148"/>
      <c r="L78" s="148"/>
      <c r="M78" s="150" t="e">
        <f>Y32/M76</f>
        <v>#DIV/0!</v>
      </c>
      <c r="N78" s="151" t="s">
        <v>144</v>
      </c>
      <c r="O78" s="149"/>
    </row>
    <row r="79" spans="2:31" x14ac:dyDescent="0.2">
      <c r="H79" s="147"/>
      <c r="I79" s="148"/>
      <c r="J79" s="148"/>
      <c r="K79" s="148"/>
      <c r="L79" s="148"/>
      <c r="M79" s="148"/>
      <c r="N79" s="148"/>
      <c r="O79" s="149"/>
    </row>
    <row r="80" spans="2:31" ht="13.5" thickBot="1" x14ac:dyDescent="0.25">
      <c r="H80" s="147"/>
      <c r="I80" s="148"/>
      <c r="J80" s="148"/>
      <c r="K80" s="148"/>
      <c r="L80" s="148"/>
      <c r="M80" s="148"/>
      <c r="N80" s="148"/>
      <c r="O80" s="149"/>
    </row>
    <row r="81" spans="8:15" ht="13.5" thickBot="1" x14ac:dyDescent="0.25">
      <c r="H81" s="147"/>
      <c r="I81" s="148"/>
      <c r="J81" s="148"/>
      <c r="K81" s="148"/>
      <c r="L81" s="148"/>
      <c r="M81" s="150" t="e">
        <f>((M78/60)/2000)*10^9</f>
        <v>#DIV/0!</v>
      </c>
      <c r="N81" s="151" t="s">
        <v>145</v>
      </c>
      <c r="O81" s="149"/>
    </row>
    <row r="82" spans="8:15" x14ac:dyDescent="0.2">
      <c r="H82" s="147"/>
      <c r="I82" s="148"/>
      <c r="J82" s="148"/>
      <c r="K82" s="148"/>
      <c r="L82" s="148"/>
      <c r="M82" s="151"/>
      <c r="N82" s="151"/>
      <c r="O82" s="149"/>
    </row>
    <row r="83" spans="8:15" ht="13.5" thickBot="1" x14ac:dyDescent="0.25">
      <c r="H83" s="147"/>
      <c r="I83" s="148"/>
      <c r="J83" s="148"/>
      <c r="K83" s="148"/>
      <c r="L83" s="148"/>
      <c r="M83" s="151"/>
      <c r="N83" s="151"/>
      <c r="O83" s="149"/>
    </row>
    <row r="84" spans="8:15" ht="13.5" thickBot="1" x14ac:dyDescent="0.25">
      <c r="H84" s="147"/>
      <c r="I84" s="148"/>
      <c r="J84" s="148"/>
      <c r="K84" s="148"/>
      <c r="L84" s="148"/>
      <c r="M84" s="150" t="e">
        <f>M81/4</f>
        <v>#DIV/0!</v>
      </c>
      <c r="N84" s="151" t="s">
        <v>137</v>
      </c>
      <c r="O84" s="149"/>
    </row>
    <row r="85" spans="8:15" x14ac:dyDescent="0.2">
      <c r="H85" s="147"/>
      <c r="I85" s="148"/>
      <c r="J85" s="148"/>
      <c r="K85" s="148"/>
      <c r="L85" s="148"/>
      <c r="M85" s="151"/>
      <c r="N85" s="151"/>
      <c r="O85" s="149"/>
    </row>
    <row r="86" spans="8:15" x14ac:dyDescent="0.2">
      <c r="H86" s="147"/>
      <c r="I86" s="148"/>
      <c r="J86" s="148"/>
      <c r="K86" s="148"/>
      <c r="L86" s="148"/>
      <c r="M86" s="152"/>
      <c r="N86" s="152"/>
      <c r="O86" s="149"/>
    </row>
    <row r="87" spans="8:15" ht="13.5" thickBot="1" x14ac:dyDescent="0.25">
      <c r="H87" s="153"/>
      <c r="I87" s="154"/>
      <c r="J87" s="154"/>
      <c r="K87" s="154"/>
      <c r="L87" s="154"/>
      <c r="M87" s="154"/>
      <c r="N87" s="154"/>
      <c r="O87" s="155"/>
    </row>
  </sheetData>
  <mergeCells count="126">
    <mergeCell ref="B68:C68"/>
    <mergeCell ref="B69:C69"/>
    <mergeCell ref="I73:N73"/>
    <mergeCell ref="Z42:Z43"/>
    <mergeCell ref="AA42:AA43"/>
    <mergeCell ref="H11:J11"/>
    <mergeCell ref="X42:X43"/>
    <mergeCell ref="Y42:Y43"/>
    <mergeCell ref="Y17:Y18"/>
    <mergeCell ref="R42:R43"/>
    <mergeCell ref="S42:S43"/>
    <mergeCell ref="T42:T43"/>
    <mergeCell ref="U42:U43"/>
    <mergeCell ref="V42:V43"/>
    <mergeCell ref="W42:W43"/>
    <mergeCell ref="P15:Y15"/>
    <mergeCell ref="Q17:W17"/>
    <mergeCell ref="L42:L43"/>
    <mergeCell ref="M42:M43"/>
    <mergeCell ref="N42:N43"/>
    <mergeCell ref="O42:O43"/>
    <mergeCell ref="P42:P43"/>
    <mergeCell ref="Q42:Q43"/>
    <mergeCell ref="V13:Y13"/>
    <mergeCell ref="V14:Y14"/>
    <mergeCell ref="V12:Y12"/>
    <mergeCell ref="P14:R14"/>
    <mergeCell ref="B12:D12"/>
    <mergeCell ref="E12:G12"/>
    <mergeCell ref="H12:J12"/>
    <mergeCell ref="B13:D13"/>
    <mergeCell ref="B14:D14"/>
    <mergeCell ref="K12:L12"/>
    <mergeCell ref="K13:L13"/>
    <mergeCell ref="M12:O12"/>
    <mergeCell ref="M13:O13"/>
    <mergeCell ref="K14:L14"/>
    <mergeCell ref="M14:O14"/>
    <mergeCell ref="H13:J13"/>
    <mergeCell ref="H14:J14"/>
    <mergeCell ref="E13:G13"/>
    <mergeCell ref="E14:G14"/>
    <mergeCell ref="M8:O8"/>
    <mergeCell ref="V8:Y8"/>
    <mergeCell ref="P9:R9"/>
    <mergeCell ref="P8:R8"/>
    <mergeCell ref="K8:L8"/>
    <mergeCell ref="K9:L9"/>
    <mergeCell ref="S8:U8"/>
    <mergeCell ref="S9:U9"/>
    <mergeCell ref="M9:O9"/>
    <mergeCell ref="S12:U12"/>
    <mergeCell ref="S13:U13"/>
    <mergeCell ref="S14:U14"/>
    <mergeCell ref="K15:L15"/>
    <mergeCell ref="M15:O15"/>
    <mergeCell ref="P13:R13"/>
    <mergeCell ref="P12:R12"/>
    <mergeCell ref="V9:Y9"/>
    <mergeCell ref="V10:Y10"/>
    <mergeCell ref="V11:Y11"/>
    <mergeCell ref="K10:L10"/>
    <mergeCell ref="S10:U10"/>
    <mergeCell ref="S11:U11"/>
    <mergeCell ref="K11:L11"/>
    <mergeCell ref="M10:O10"/>
    <mergeCell ref="M11:O11"/>
    <mergeCell ref="P11:R11"/>
    <mergeCell ref="P10:R10"/>
    <mergeCell ref="E8:G8"/>
    <mergeCell ref="B8:D8"/>
    <mergeCell ref="H8:J8"/>
    <mergeCell ref="B11:D11"/>
    <mergeCell ref="H9:J9"/>
    <mergeCell ref="H10:J10"/>
    <mergeCell ref="E9:G9"/>
    <mergeCell ref="E10:G10"/>
    <mergeCell ref="E11:G11"/>
    <mergeCell ref="S5:U5"/>
    <mergeCell ref="S6:U6"/>
    <mergeCell ref="H7:J7"/>
    <mergeCell ref="V7:Y7"/>
    <mergeCell ref="K7:L7"/>
    <mergeCell ref="B17:B18"/>
    <mergeCell ref="C17:C18"/>
    <mergeCell ref="D17:P17"/>
    <mergeCell ref="B42:B43"/>
    <mergeCell ref="C42:C43"/>
    <mergeCell ref="D42:E42"/>
    <mergeCell ref="H42:I42"/>
    <mergeCell ref="F42:F43"/>
    <mergeCell ref="G42:G44"/>
    <mergeCell ref="J42:J43"/>
    <mergeCell ref="K42:K43"/>
    <mergeCell ref="M7:O7"/>
    <mergeCell ref="P7:R7"/>
    <mergeCell ref="S7:U7"/>
    <mergeCell ref="B15:D15"/>
    <mergeCell ref="E15:G15"/>
    <mergeCell ref="H15:J15"/>
    <mergeCell ref="B9:D9"/>
    <mergeCell ref="B10:D10"/>
    <mergeCell ref="X17:X18"/>
    <mergeCell ref="AB42:AB43"/>
    <mergeCell ref="AC42:AC43"/>
    <mergeCell ref="AD42:AD43"/>
    <mergeCell ref="AE42:AE43"/>
    <mergeCell ref="S2:V2"/>
    <mergeCell ref="V3:Y3"/>
    <mergeCell ref="B5:D5"/>
    <mergeCell ref="E5:G5"/>
    <mergeCell ref="H5:J5"/>
    <mergeCell ref="V5:Y5"/>
    <mergeCell ref="K5:L5"/>
    <mergeCell ref="V6:Y6"/>
    <mergeCell ref="B7:D7"/>
    <mergeCell ref="E7:G7"/>
    <mergeCell ref="I2:R3"/>
    <mergeCell ref="B6:D6"/>
    <mergeCell ref="E6:G6"/>
    <mergeCell ref="H6:J6"/>
    <mergeCell ref="K6:L6"/>
    <mergeCell ref="M5:O5"/>
    <mergeCell ref="M6:O6"/>
    <mergeCell ref="P5:R5"/>
    <mergeCell ref="P6:R6"/>
  </mergeCells>
  <pageMargins left="0" right="0" top="0.5" bottom="0" header="0.3" footer="0.3"/>
  <pageSetup scale="70" orientation="landscape" r:id="rId1"/>
  <ignoredErrors>
    <ignoredError sqref="Y20" evalErro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22"/>
  <sheetViews>
    <sheetView workbookViewId="0"/>
  </sheetViews>
  <sheetFormatPr defaultRowHeight="15" x14ac:dyDescent="0.25"/>
  <cols>
    <col min="3" max="3" width="13" customWidth="1"/>
    <col min="4" max="4" width="12.28515625" customWidth="1"/>
  </cols>
  <sheetData>
    <row r="3" spans="2:4" x14ac:dyDescent="0.25">
      <c r="B3" s="4" t="s">
        <v>14</v>
      </c>
      <c r="C3" s="4" t="s">
        <v>16</v>
      </c>
      <c r="D3" s="4" t="s">
        <v>17</v>
      </c>
    </row>
    <row r="4" spans="2:4" x14ac:dyDescent="0.25">
      <c r="B4" s="3" t="e">
        <f>Performance!#REF!</f>
        <v>#REF!</v>
      </c>
      <c r="C4" s="3" t="e">
        <f>Performance!#REF!</f>
        <v>#REF!</v>
      </c>
      <c r="D4" s="5" t="e">
        <f>(2*3.142*B4*C4)/(4500*9.81)</f>
        <v>#REF!</v>
      </c>
    </row>
    <row r="5" spans="2:4" x14ac:dyDescent="0.25">
      <c r="B5" s="3" t="e">
        <f>Performance!#REF!</f>
        <v>#REF!</v>
      </c>
      <c r="C5" s="3" t="e">
        <f>Performance!#REF!</f>
        <v>#REF!</v>
      </c>
      <c r="D5" s="5" t="e">
        <f t="shared" ref="D5:D21" si="0">(2*3.142*B5*C5)/(4500*9.81)</f>
        <v>#REF!</v>
      </c>
    </row>
    <row r="6" spans="2:4" x14ac:dyDescent="0.25">
      <c r="B6" s="3" t="e">
        <f>Performance!#REF!</f>
        <v>#REF!</v>
      </c>
      <c r="C6" s="3" t="e">
        <f>Performance!#REF!</f>
        <v>#REF!</v>
      </c>
      <c r="D6" s="5" t="e">
        <f t="shared" si="0"/>
        <v>#REF!</v>
      </c>
    </row>
    <row r="7" spans="2:4" x14ac:dyDescent="0.25">
      <c r="B7" s="3" t="e">
        <f>Performance!#REF!</f>
        <v>#REF!</v>
      </c>
      <c r="C7" s="3" t="e">
        <f>Performance!#REF!</f>
        <v>#REF!</v>
      </c>
      <c r="D7" s="5" t="e">
        <f t="shared" si="0"/>
        <v>#REF!</v>
      </c>
    </row>
    <row r="8" spans="2:4" x14ac:dyDescent="0.25">
      <c r="B8" s="3" t="e">
        <f>Performance!#REF!</f>
        <v>#REF!</v>
      </c>
      <c r="C8" s="3" t="e">
        <f>Performance!#REF!</f>
        <v>#REF!</v>
      </c>
      <c r="D8" s="5" t="e">
        <f t="shared" si="0"/>
        <v>#REF!</v>
      </c>
    </row>
    <row r="9" spans="2:4" x14ac:dyDescent="0.25">
      <c r="B9" s="3" t="e">
        <f>Performance!#REF!</f>
        <v>#REF!</v>
      </c>
      <c r="C9" s="3" t="e">
        <f>Performance!#REF!</f>
        <v>#REF!</v>
      </c>
      <c r="D9" s="5" t="e">
        <f t="shared" si="0"/>
        <v>#REF!</v>
      </c>
    </row>
    <row r="10" spans="2:4" x14ac:dyDescent="0.25">
      <c r="B10" s="3" t="e">
        <f>Performance!#REF!</f>
        <v>#REF!</v>
      </c>
      <c r="C10" s="3" t="e">
        <f>Performance!#REF!</f>
        <v>#REF!</v>
      </c>
      <c r="D10" s="5" t="e">
        <f t="shared" si="0"/>
        <v>#REF!</v>
      </c>
    </row>
    <row r="11" spans="2:4" x14ac:dyDescent="0.25">
      <c r="B11" s="3" t="e">
        <f>Performance!#REF!</f>
        <v>#REF!</v>
      </c>
      <c r="C11" s="3" t="e">
        <f>Performance!#REF!</f>
        <v>#REF!</v>
      </c>
      <c r="D11" s="5" t="e">
        <f t="shared" si="0"/>
        <v>#REF!</v>
      </c>
    </row>
    <row r="12" spans="2:4" x14ac:dyDescent="0.25">
      <c r="B12" s="3" t="e">
        <f>Performance!#REF!</f>
        <v>#REF!</v>
      </c>
      <c r="C12" s="3" t="e">
        <f>Performance!#REF!</f>
        <v>#REF!</v>
      </c>
      <c r="D12" s="5" t="e">
        <f t="shared" si="0"/>
        <v>#REF!</v>
      </c>
    </row>
    <row r="13" spans="2:4" x14ac:dyDescent="0.25">
      <c r="B13" s="3" t="e">
        <f>Performance!#REF!</f>
        <v>#REF!</v>
      </c>
      <c r="C13" s="3" t="e">
        <f>Performance!#REF!</f>
        <v>#REF!</v>
      </c>
      <c r="D13" s="5" t="e">
        <f t="shared" si="0"/>
        <v>#REF!</v>
      </c>
    </row>
    <row r="14" spans="2:4" x14ac:dyDescent="0.25">
      <c r="B14" s="3" t="e">
        <f>Performance!#REF!</f>
        <v>#REF!</v>
      </c>
      <c r="C14" s="3" t="e">
        <f>Performance!#REF!</f>
        <v>#REF!</v>
      </c>
      <c r="D14" s="5" t="e">
        <f t="shared" si="0"/>
        <v>#REF!</v>
      </c>
    </row>
    <row r="15" spans="2:4" x14ac:dyDescent="0.25">
      <c r="B15" s="3" t="e">
        <f>Performance!#REF!</f>
        <v>#REF!</v>
      </c>
      <c r="C15" s="3" t="e">
        <f>Performance!#REF!</f>
        <v>#REF!</v>
      </c>
      <c r="D15" s="5" t="e">
        <f t="shared" si="0"/>
        <v>#REF!</v>
      </c>
    </row>
    <row r="16" spans="2:4" x14ac:dyDescent="0.25">
      <c r="B16" s="3" t="e">
        <f>Performance!#REF!</f>
        <v>#REF!</v>
      </c>
      <c r="C16" s="3" t="e">
        <f>Performance!#REF!</f>
        <v>#REF!</v>
      </c>
      <c r="D16" s="5" t="e">
        <f t="shared" si="0"/>
        <v>#REF!</v>
      </c>
    </row>
    <row r="17" spans="2:4" x14ac:dyDescent="0.25">
      <c r="B17" s="3" t="e">
        <f>Performance!#REF!</f>
        <v>#REF!</v>
      </c>
      <c r="C17" s="3" t="e">
        <f>Performance!#REF!</f>
        <v>#REF!</v>
      </c>
      <c r="D17" s="5" t="e">
        <f t="shared" si="0"/>
        <v>#REF!</v>
      </c>
    </row>
    <row r="18" spans="2:4" x14ac:dyDescent="0.25">
      <c r="B18" s="3" t="e">
        <f>Performance!#REF!</f>
        <v>#REF!</v>
      </c>
      <c r="C18" s="3" t="e">
        <f>Performance!#REF!</f>
        <v>#REF!</v>
      </c>
      <c r="D18" s="5" t="e">
        <f t="shared" si="0"/>
        <v>#REF!</v>
      </c>
    </row>
    <row r="19" spans="2:4" x14ac:dyDescent="0.25">
      <c r="B19" s="3" t="e">
        <f>Performance!#REF!</f>
        <v>#REF!</v>
      </c>
      <c r="C19" s="3" t="e">
        <f>Performance!#REF!</f>
        <v>#REF!</v>
      </c>
      <c r="D19" s="5" t="e">
        <f t="shared" si="0"/>
        <v>#REF!</v>
      </c>
    </row>
    <row r="20" spans="2:4" x14ac:dyDescent="0.25">
      <c r="B20" s="3" t="e">
        <f>Performance!#REF!</f>
        <v>#REF!</v>
      </c>
      <c r="C20" s="3" t="e">
        <f>Performance!#REF!</f>
        <v>#REF!</v>
      </c>
      <c r="D20" s="5" t="e">
        <f t="shared" si="0"/>
        <v>#REF!</v>
      </c>
    </row>
    <row r="21" spans="2:4" x14ac:dyDescent="0.25">
      <c r="B21" s="3">
        <f>Performance!B41</f>
        <v>0</v>
      </c>
      <c r="C21" s="3">
        <f>Performance!C41</f>
        <v>0</v>
      </c>
      <c r="D21" s="5">
        <f t="shared" si="0"/>
        <v>0</v>
      </c>
    </row>
    <row r="22" spans="2:4" ht="11.2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:X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Performance</vt:lpstr>
      <vt:lpstr>Graphs</vt:lpstr>
      <vt:lpstr>Sheet3</vt:lpstr>
      <vt:lpstr>Performance!Print_Area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VKK-214</dc:creator>
  <cp:lastModifiedBy>VKK-214</cp:lastModifiedBy>
  <cp:lastPrinted>2014-05-26T12:02:22Z</cp:lastPrinted>
  <dcterms:created xsi:type="dcterms:W3CDTF">2014-05-26T10:28:40Z</dcterms:created>
  <dcterms:modified xsi:type="dcterms:W3CDTF">2019-02-28T09:58:23Z</dcterms:modified>
</cp:coreProperties>
</file>